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Чёрная касса" sheetId="2" state="visible" r:id="rId2"/>
    <sheet name="По объектам" sheetId="3" state="visible" r:id="rId3"/>
    <sheet name="Окупаемос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C211F"/>
      <sz val="16"/>
    </font>
    <font>
      <i val="1"/>
      <color rgb="00565F5B"/>
      <sz val="10"/>
    </font>
    <font>
      <b val="1"/>
      <color rgb="002B4A52"/>
      <sz val="13"/>
    </font>
    <font>
      <b val="1"/>
    </font>
    <font>
      <b val="1"/>
      <color rgb="00FFFFFF"/>
      <sz val="11"/>
    </font>
    <font>
      <b val="1"/>
      <color rgb="00A3402F"/>
    </font>
  </fonts>
  <fills count="6">
    <fill>
      <patternFill/>
    </fill>
    <fill>
      <patternFill patternType="gray125"/>
    </fill>
    <fill>
      <patternFill patternType="solid">
        <fgColor rgb="00FFF6D8"/>
      </patternFill>
    </fill>
    <fill>
      <patternFill patternType="solid">
        <fgColor rgb="002B4A52"/>
      </patternFill>
    </fill>
    <fill>
      <patternFill patternType="solid">
        <fgColor rgb="00DDE6E6"/>
      </patternFill>
    </fill>
    <fill>
      <patternFill patternType="solid">
        <fgColor rgb="00F7E4DE"/>
      </patternFill>
    </fill>
  </fills>
  <borders count="2">
    <border>
      <left/>
      <right/>
      <top/>
      <bottom/>
      <diagonal/>
    </border>
    <border>
      <left style="thin">
        <color rgb="00DCDED9"/>
      </left>
      <right style="thin">
        <color rgb="00DCDED9"/>
      </right>
      <top style="thin">
        <color rgb="00DCDED9"/>
      </top>
      <bottom style="thin">
        <color rgb="00DCDE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6" fillId="0" borderId="0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30" customWidth="1" min="4" max="4"/>
  </cols>
  <sheetData>
    <row r="1">
      <c r="A1" s="1" t="inlineStr">
        <is>
          <t>Аренда квартир Самарканд — сводный финансовый отчёт</t>
        </is>
      </c>
    </row>
    <row r="2">
      <c r="A2" s="2" t="inlineStr">
        <is>
          <t>Период: 01.01.2026 – 22.08.2026 (расходы партнёра переданы по 30.06.2026)</t>
        </is>
      </c>
    </row>
    <row r="4">
      <c r="A4" s="3" t="inlineStr">
        <is>
          <t>КУРС ПЕРЕСЧЁТА — поставь свой актуальный курс, всё ниже пересчитается само</t>
        </is>
      </c>
    </row>
    <row r="5">
      <c r="A5" t="inlineStr">
        <is>
          <t>UZS за 1 USD</t>
        </is>
      </c>
      <c r="B5" s="4" t="n">
        <v>12700</v>
      </c>
    </row>
    <row r="7">
      <c r="A7" s="3" t="inlineStr">
        <is>
          <t>1. ОФИЦИАЛЬНЫЙ ПРОВЕРЯЕМЫЙ ДОХОД (Booking + Airbnb, обе квартиры)</t>
        </is>
      </c>
    </row>
    <row r="8">
      <c r="A8" s="5" t="inlineStr">
        <is>
          <t>Источник</t>
        </is>
      </c>
      <c r="B8" s="5" t="inlineStr">
        <is>
          <t>Броней</t>
        </is>
      </c>
      <c r="C8" s="5" t="inlineStr">
        <is>
          <t>Ночей</t>
        </is>
      </c>
      <c r="D8" s="5" t="inlineStr">
        <is>
          <t>Доход $ (netto, после комиссии платформы)</t>
        </is>
      </c>
    </row>
    <row r="9">
      <c r="A9" s="6" t="inlineStr">
        <is>
          <t>Booking.com (статус OK)</t>
        </is>
      </c>
      <c r="B9" s="6" t="n">
        <v>67</v>
      </c>
      <c r="C9" s="6" t="n">
        <v>114</v>
      </c>
      <c r="D9" s="6" t="n">
        <v>3906.96</v>
      </c>
    </row>
    <row r="10">
      <c r="A10" s="6" t="inlineStr">
        <is>
          <t>Airbnb (оплаченные брони)</t>
        </is>
      </c>
      <c r="B10" s="6" t="n">
        <v>20</v>
      </c>
      <c r="C10" s="6" t="n">
        <v>47</v>
      </c>
      <c r="D10" s="6" t="n">
        <v>2092.65</v>
      </c>
    </row>
    <row r="11">
      <c r="A11" s="6" t="inlineStr">
        <is>
          <t xml:space="preserve">  доп.: выплата по диспуту Airbnb (сверх брони)</t>
        </is>
      </c>
      <c r="B11" s="6" t="inlineStr"/>
      <c r="C11" s="6" t="inlineStr"/>
      <c r="D11" s="6" t="n">
        <v>102</v>
      </c>
    </row>
    <row r="12">
      <c r="A12" s="7" t="inlineStr">
        <is>
          <t>ИТОГО официальный доход (без диспута)</t>
        </is>
      </c>
      <c r="B12" s="7">
        <f>B9+B10</f>
        <v/>
      </c>
      <c r="C12" s="7">
        <f>C9+C10</f>
        <v/>
      </c>
      <c r="D12" s="7">
        <f>D9+D10</f>
        <v/>
      </c>
    </row>
    <row r="14">
      <c r="A14" s="3" t="inlineStr">
        <is>
          <t>2. РАСХОДЫ ПО ТАБЛИЦЕ ПАРТНЁРА (январь–июнь 2026)</t>
        </is>
      </c>
    </row>
    <row r="15">
      <c r="A15" s="5" t="inlineStr">
        <is>
          <t>Категория</t>
        </is>
      </c>
      <c r="B15" s="5" t="inlineStr">
        <is>
          <t>Сумма, сум</t>
        </is>
      </c>
      <c r="C15" s="5" t="inlineStr">
        <is>
          <t>≈ $, по курсу выше</t>
        </is>
      </c>
    </row>
    <row r="16">
      <c r="A16" s="6" t="inlineStr">
        <is>
          <t>Все расходы (аренда, уборка, быт и т.д.)</t>
        </is>
      </c>
      <c r="B16" s="6" t="n">
        <v>143845780</v>
      </c>
      <c r="C16" s="6">
        <f>B16/$B$5</f>
        <v/>
      </c>
    </row>
    <row r="17">
      <c r="A17" s="6" t="inlineStr">
        <is>
          <t xml:space="preserve">  из них разовые ('вложения'/обустройство)</t>
        </is>
      </c>
      <c r="B17" s="6" t="n">
        <v>38122800</v>
      </c>
      <c r="C17" s="6">
        <f>B17/$B$5</f>
        <v/>
      </c>
    </row>
    <row r="18">
      <c r="A18" s="6" t="inlineStr">
        <is>
          <t xml:space="preserve">  из них периодические (аренда, коммуналка, уборка)</t>
        </is>
      </c>
      <c r="B18" s="6">
        <f>B16-B17</f>
        <v/>
      </c>
      <c r="C18" s="6">
        <f>B18/$B$5</f>
        <v/>
      </c>
    </row>
    <row r="20">
      <c r="A20" s="3" t="inlineStr">
        <is>
          <t>3. ИТОГ: ПРИБЫЛЬ / УБЫТОК ПО ОФИЦИАЛЬНЫМ ДАННЫМ</t>
        </is>
      </c>
    </row>
    <row r="21">
      <c r="A21" s="5" t="inlineStr">
        <is>
          <t>Официальный доход $</t>
        </is>
      </c>
      <c r="B21" s="5" t="inlineStr">
        <is>
          <t>Расходы $ (по курсу)</t>
        </is>
      </c>
      <c r="C21" s="5" t="inlineStr">
        <is>
          <t>Прибыль(+) / Убыток(-) $</t>
        </is>
      </c>
    </row>
    <row r="22">
      <c r="A22" s="8">
        <f>D12</f>
        <v/>
      </c>
      <c r="B22" s="8">
        <f>C16</f>
        <v/>
      </c>
      <c r="C22" s="8">
        <f>A22-B22</f>
        <v/>
      </c>
    </row>
    <row r="23">
      <c r="A23" s="2" t="inlineStr">
        <is>
          <t>Отрицательное число = по проверяемым платформенным деньгам бизнес пока НЕ окупается и не в плюсе.</t>
        </is>
      </c>
    </row>
    <row r="24">
      <c r="A24" s="2" t="inlineStr">
        <is>
          <t>Это не значит, что реальных денег нет — см. лист 'Чёрная касса': минимум $1 574 подтверждённого дохода одной из квартир записано партнёром как $0.</t>
        </is>
      </c>
    </row>
    <row r="26">
      <c r="A26" s="3" t="inlineStr">
        <is>
          <t>4. ГЛАВНАЯ НАХОДКА</t>
        </is>
      </c>
    </row>
    <row r="27">
      <c r="A27" s="9" t="inlineStr">
        <is>
          <t>В таблице партнёра квартира 'Black Pearl' (= Spacious apartment / Registan) три месяца подряд — апрель, май, июнь — показывает официально подтверждённые брони Booking.com, а записанный доход по ним каждый месяц: 0 сум / $0.</t>
        </is>
      </c>
    </row>
    <row r="28">
      <c r="A28" s="2" t="inlineStr">
        <is>
          <t>'White Pearl' (= квартира у аэропорта) за те же месяцы отражена в этой же таблице подробно и построчно, вплоть до Airbnb-выплат в долларах.</t>
        </is>
      </c>
    </row>
    <row r="29">
      <c r="A29" s="2" t="inlineStr">
        <is>
          <t>Подробности и прямая сверка с датами Booking.com — на листе 'Чёрная касса'.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34" customWidth="1" min="4" max="4"/>
    <col width="24" customWidth="1" min="5" max="5"/>
  </cols>
  <sheetData>
    <row r="1">
      <c r="A1" s="1" t="inlineStr">
        <is>
          <t>Black Pearl (Spacious apartment) — доход, записанный партнёром как $0</t>
        </is>
      </c>
    </row>
    <row r="2">
      <c r="A2" s="2" t="inlineStr">
        <is>
          <t>Каждая строка ниже — ночи, которые сам партнёр отметил как занятые в своей таблице ('Черная'), и которые день-в-день совпадают с официальными подтверждёнными бронями Booking.com. В колонке дохода партнёр при этом поставил 0.</t>
        </is>
      </c>
    </row>
    <row r="4">
      <c r="A4" s="5" t="inlineStr">
        <is>
          <t>Месяц</t>
        </is>
      </c>
      <c r="B4" s="5" t="inlineStr">
        <is>
          <t>Ночей отмечено ('Черная')</t>
        </is>
      </c>
      <c r="C4" s="5" t="inlineStr">
        <is>
          <t>из них подтверждено Booking.com, $</t>
        </is>
      </c>
      <c r="D4" s="5" t="inlineStr">
        <is>
          <t>+ нал/'сарафанное радио', ночей (без суммы)</t>
        </is>
      </c>
      <c r="E4" s="5" t="inlineStr">
        <is>
          <t>Записано в таблице партнёра, $</t>
        </is>
      </c>
    </row>
    <row r="5">
      <c r="A5" s="10" t="inlineStr">
        <is>
          <t>Апрель</t>
        </is>
      </c>
      <c r="B5" s="10" t="n">
        <v>20</v>
      </c>
      <c r="C5" s="10" t="n">
        <v>863.01</v>
      </c>
      <c r="D5" s="10" t="n">
        <v>0</v>
      </c>
      <c r="E5" s="8" t="n">
        <v>0</v>
      </c>
    </row>
    <row r="6">
      <c r="A6" s="10" t="inlineStr">
        <is>
          <t>Май</t>
        </is>
      </c>
      <c r="B6" s="10" t="n">
        <v>13</v>
      </c>
      <c r="C6" s="10" t="n">
        <v>483.59</v>
      </c>
      <c r="D6" s="10" t="n">
        <v>7</v>
      </c>
      <c r="E6" s="8" t="n">
        <v>0</v>
      </c>
    </row>
    <row r="7">
      <c r="A7" s="10" t="inlineStr">
        <is>
          <t>Июнь</t>
        </is>
      </c>
      <c r="B7" s="10" t="n">
        <v>8</v>
      </c>
      <c r="C7" s="10" t="n">
        <v>227.8</v>
      </c>
      <c r="D7" s="10" t="n">
        <v>15</v>
      </c>
      <c r="E7" s="8" t="n">
        <v>0</v>
      </c>
    </row>
    <row r="8">
      <c r="A8" s="7" t="inlineStr">
        <is>
          <t>ИТОГО (апр-июнь)</t>
        </is>
      </c>
      <c r="B8" s="7">
        <f>SUM(B5:B7)</f>
        <v/>
      </c>
      <c r="C8" s="7">
        <f>SUM(C5:C7)</f>
        <v/>
      </c>
      <c r="D8" s="7">
        <f>SUM(D5:D7)</f>
        <v/>
      </c>
      <c r="E8" s="7" t="n">
        <v>0</v>
      </c>
    </row>
    <row r="10">
      <c r="A10" s="3" t="inlineStr">
        <is>
          <t>Что это значит:</t>
        </is>
      </c>
    </row>
    <row r="11">
      <c r="A11" s="11" t="inlineStr">
        <is>
          <t>Минимум $1,574.40 — это НЕ предположение, это официальная сумма из выгрузки Booking.com за подтверждённые (OK) брони этой квартиры за апрель-июнь.</t>
        </is>
      </c>
    </row>
    <row r="12">
      <c r="A12" s="2" t="inlineStr">
        <is>
          <t>Плюс ещё 22 ночей отмечены как занятые через нал/'сарафанное радио' — по ним партнёр вообще не указал никакой суммы, даже примерной.</t>
        </is>
      </c>
    </row>
    <row r="13">
      <c r="A13" s="2" t="inlineStr">
        <is>
          <t>Для сравнения: квартира 'White Pearl' (у аэропорта) в этой же таблице учтена вплоть до отдельной брони и суммы в долларах/сумах, без пропусков.</t>
        </is>
      </c>
    </row>
    <row r="15">
      <c r="A15" s="3" t="inlineStr">
        <is>
          <t>Как проверить самому</t>
        </is>
      </c>
    </row>
    <row r="16">
      <c r="A16" s="2" t="inlineStr">
        <is>
          <t>1. Открой файл 'Бронирования_2026-01-01_2026-08-22.xls' (в этой же папке проекта в Obsidian) и отфильтруй по объекту 'Spacious apartment 15 min to Registan' и статусу OK.</t>
        </is>
      </c>
    </row>
    <row r="17">
      <c r="A17" s="2" t="inlineStr">
        <is>
          <t>2. Сверь даты заезда за апрель-июнь с датами в таблице партнёра ('Черная', второй блок столбцов на листе 'Доходы') — они совпадают день в день.</t>
        </is>
      </c>
    </row>
    <row r="18">
      <c r="A18" s="2" t="inlineStr">
        <is>
          <t>3. Спроси у партнёра прямо: куда делись деньги по этим подтверждённым Booking.com броням, если в общей таблице по ним стоит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0" customWidth="1" min="3" max="3"/>
    <col width="22" customWidth="1" min="4" max="4"/>
    <col width="26" customWidth="1" min="5" max="5"/>
  </cols>
  <sheetData>
    <row r="1">
      <c r="A1" s="1" t="inlineStr">
        <is>
          <t>Доход и расход по каждой квартире</t>
        </is>
      </c>
    </row>
    <row r="2">
      <c r="A2" s="2" t="inlineStr">
        <is>
          <t>Курс берётся с листа 'Сводка' (поменяешь там — пересчитается и тут).</t>
        </is>
      </c>
    </row>
    <row r="4">
      <c r="A4" s="5" t="inlineStr">
        <is>
          <t>Квартира</t>
        </is>
      </c>
      <c r="B4" s="5" t="inlineStr">
        <is>
          <t>Доход Booking+Airbnb, $ (netto)</t>
        </is>
      </c>
      <c r="C4" s="5" t="inlineStr">
        <is>
          <t>Расходы, сум</t>
        </is>
      </c>
      <c r="D4" s="5" t="inlineStr">
        <is>
          <t>Расходы, $ (по курсу)</t>
        </is>
      </c>
      <c r="E4" s="5" t="inlineStr">
        <is>
          <t>Прибыль(+)/Убыток(-), $</t>
        </is>
      </c>
    </row>
    <row r="5">
      <c r="A5" s="6" t="inlineStr">
        <is>
          <t>Black Pearl (Spacious/Registan)</t>
        </is>
      </c>
      <c r="B5" s="10" t="n">
        <v>3534.24</v>
      </c>
      <c r="C5" s="10" t="n">
        <v>88005130</v>
      </c>
      <c r="D5" s="10">
        <f>C5/Сводка!$B$5</f>
        <v/>
      </c>
      <c r="E5" s="10">
        <f>B5-D5</f>
        <v/>
      </c>
    </row>
    <row r="6">
      <c r="A6" s="6" t="inlineStr">
        <is>
          <t>White Pearl (у аэропорта)</t>
        </is>
      </c>
      <c r="B6" s="10" t="n">
        <v>2465.37</v>
      </c>
      <c r="C6" s="10" t="n">
        <v>46577650</v>
      </c>
      <c r="D6" s="10">
        <f>C6/Сводка!$B$5</f>
        <v/>
      </c>
      <c r="E6" s="10">
        <f>B6-D6</f>
        <v/>
      </c>
    </row>
    <row r="7">
      <c r="A7" s="6" t="inlineStr">
        <is>
          <t>Общие расходы (не привязаны к одной квартире)</t>
        </is>
      </c>
      <c r="B7" s="6" t="n">
        <v>0</v>
      </c>
      <c r="C7" s="6" t="n">
        <v>9263000</v>
      </c>
      <c r="D7" s="6">
        <f>C7/Сводка!$B$5</f>
        <v/>
      </c>
      <c r="E7" s="6">
        <f>B7-D7</f>
        <v/>
      </c>
    </row>
    <row r="8">
      <c r="A8" s="7" t="inlineStr">
        <is>
          <t>ИТОГО</t>
        </is>
      </c>
      <c r="B8" s="7">
        <f>B5+B6+B7</f>
        <v/>
      </c>
      <c r="C8" s="7">
        <f>C5+C6+C7</f>
        <v/>
      </c>
      <c r="D8" s="7">
        <f>D5+D6+D7</f>
        <v/>
      </c>
      <c r="E8" s="7">
        <f>E5+E6+E7</f>
        <v/>
      </c>
    </row>
    <row r="10">
      <c r="A10" s="2" t="inlineStr">
        <is>
          <t>По официальным (проверяемым) деньгам обе квартиры сейчас в убытке — ожидаемо, если часть реальной выручки проходит мимо этого учёта (см. лист 'Чёрная касса').</t>
        </is>
      </c>
    </row>
    <row r="11">
      <c r="A11" s="2" t="inlineStr">
        <is>
          <t>Доход Black Pearl тут — ТОЛЬКО официально подтверждённый (без учёта $0-записей из 'Чёрной кассы'). Если бы партнёр учёл все подтверждённые Booking-брони, убыток Black Pearl был бы меньше минимум на $1 574.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Помесячная динамика: расходы vs официальный доход</t>
        </is>
      </c>
    </row>
    <row r="2">
      <c r="A2" s="2" t="inlineStr">
        <is>
          <t>Официальный доход по месяцам — по дате заезда (Booking) / дате брони (Airbnb), обе квартиры вместе. Курс — с листа 'Сводка'.</t>
        </is>
      </c>
    </row>
    <row r="4">
      <c r="A4" s="5" t="inlineStr">
        <is>
          <t>Месяц</t>
        </is>
      </c>
      <c r="B4" s="5" t="inlineStr">
        <is>
          <t>Расходы, сум</t>
        </is>
      </c>
      <c r="C4" s="5" t="inlineStr">
        <is>
          <t>Расходы, $</t>
        </is>
      </c>
      <c r="D4" s="5" t="inlineStr">
        <is>
          <t>Официальный доход, $</t>
        </is>
      </c>
      <c r="E4" s="5" t="inlineStr">
        <is>
          <t>Разница за месяц, $</t>
        </is>
      </c>
      <c r="F4" s="5" t="inlineStr">
        <is>
          <t>Накопительно, $</t>
        </is>
      </c>
    </row>
    <row r="5">
      <c r="A5" s="6" t="inlineStr">
        <is>
          <t>Январь</t>
        </is>
      </c>
      <c r="B5" s="6" t="n">
        <v>39985000</v>
      </c>
      <c r="C5" s="6">
        <f>B5/Сводка!$B$5</f>
        <v/>
      </c>
      <c r="D5" s="6" t="n">
        <v>230.12</v>
      </c>
      <c r="E5" s="6">
        <f>D5-C5</f>
        <v/>
      </c>
      <c r="F5" s="6">
        <f>E5</f>
        <v/>
      </c>
    </row>
    <row r="6">
      <c r="A6" s="6" t="inlineStr">
        <is>
          <t>Февраль</t>
        </is>
      </c>
      <c r="B6" s="6" t="n">
        <v>5931250</v>
      </c>
      <c r="C6" s="6">
        <f>B6/Сводка!$B$5</f>
        <v/>
      </c>
      <c r="D6" s="6" t="n">
        <v>400.51</v>
      </c>
      <c r="E6" s="6">
        <f>D6-C6</f>
        <v/>
      </c>
      <c r="F6" s="6">
        <f>F5+E6</f>
        <v/>
      </c>
    </row>
    <row r="7">
      <c r="A7" s="6" t="inlineStr">
        <is>
          <t>Март</t>
        </is>
      </c>
      <c r="B7" s="6" t="n">
        <v>38951780</v>
      </c>
      <c r="C7" s="6">
        <f>B7/Сводка!$B$5</f>
        <v/>
      </c>
      <c r="D7" s="6" t="n">
        <v>1107.34</v>
      </c>
      <c r="E7" s="6">
        <f>D7-C7</f>
        <v/>
      </c>
      <c r="F7" s="6">
        <f>F6+E7</f>
        <v/>
      </c>
    </row>
    <row r="8">
      <c r="A8" s="6" t="inlineStr">
        <is>
          <t>Апрель</t>
        </is>
      </c>
      <c r="B8" s="6" t="n">
        <v>19213750</v>
      </c>
      <c r="C8" s="6">
        <f>B8/Сводка!$B$5</f>
        <v/>
      </c>
      <c r="D8" s="6" t="n">
        <v>1070.78</v>
      </c>
      <c r="E8" s="6">
        <f>D8-C8</f>
        <v/>
      </c>
      <c r="F8" s="6">
        <f>F7+E8</f>
        <v/>
      </c>
    </row>
    <row r="9">
      <c r="A9" s="6" t="inlineStr">
        <is>
          <t>Май</t>
        </is>
      </c>
      <c r="B9" s="6" t="n">
        <v>16411000</v>
      </c>
      <c r="C9" s="6">
        <f>B9/Сводка!$B$5</f>
        <v/>
      </c>
      <c r="D9" s="6" t="n">
        <v>1468.31</v>
      </c>
      <c r="E9" s="6">
        <f>D9-C9</f>
        <v/>
      </c>
      <c r="F9" s="6">
        <f>F8+E9</f>
        <v/>
      </c>
    </row>
    <row r="10">
      <c r="A10" s="6" t="inlineStr">
        <is>
          <t>Июнь</t>
        </is>
      </c>
      <c r="B10" s="6" t="n">
        <v>23353000</v>
      </c>
      <c r="C10" s="6">
        <f>B10/Сводка!$B$5</f>
        <v/>
      </c>
      <c r="D10" s="6" t="n">
        <v>1001.33</v>
      </c>
      <c r="E10" s="6">
        <f>D10-C10</f>
        <v/>
      </c>
      <c r="F10" s="6">
        <f>F9+E10</f>
        <v/>
      </c>
    </row>
    <row r="11">
      <c r="A11" s="7" t="inlineStr">
        <is>
          <t>ИТОГО (янв-июнь)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F10</f>
        <v/>
      </c>
    </row>
    <row r="13">
      <c r="A13" s="3" t="inlineStr">
        <is>
          <t>Июль / август — расходы партнёром не переданы (не значит, что их нет!), поэтому в накопительную кривую выше не включены:</t>
        </is>
      </c>
    </row>
    <row r="14">
      <c r="A14" s="5" t="inlineStr">
        <is>
          <t>Месяц</t>
        </is>
      </c>
      <c r="B14" s="5" t="inlineStr">
        <is>
          <t>Расходы, сум</t>
        </is>
      </c>
      <c r="C14" s="5" t="inlineStr">
        <is>
          <t>Официальный доход, $</t>
        </is>
      </c>
    </row>
    <row r="15">
      <c r="A15" s="6" t="inlineStr">
        <is>
          <t>Июль</t>
        </is>
      </c>
      <c r="B15" s="6" t="inlineStr">
        <is>
          <t>нет данных</t>
        </is>
      </c>
      <c r="C15" s="6" t="n">
        <v>242.9</v>
      </c>
    </row>
    <row r="16">
      <c r="A16" s="6" t="inlineStr">
        <is>
          <t>Август (до 22)</t>
        </is>
      </c>
      <c r="B16" s="6" t="inlineStr">
        <is>
          <t>нет данных</t>
        </is>
      </c>
      <c r="C16" s="6" t="n">
        <v>478.32</v>
      </c>
    </row>
    <row r="18">
      <c r="A18" s="2" t="inlineStr">
        <is>
          <t>Колонка 'Накопительно' — если уходит глубже в минус, а не поднимается к нулю, значит официальные деньги пока не покрывают расходы бизнеса.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2026-08-22T14:56:37Z</dcterms:created>
  <dcterms:modified xsi:type="dcterms:W3CDTF">2026-08-22T14:56:37Z</dcterms:modified>
</cp:coreProperties>
</file>
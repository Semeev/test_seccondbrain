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оходы" sheetId="1" r:id="rId4"/>
    <sheet state="visible" name="Расходы" sheetId="2" r:id="rId5"/>
    <sheet state="visible" name="таблица" sheetId="3" r:id="rId6"/>
    <sheet state="visible" name="База данных" sheetId="4" r:id="rId7"/>
    <sheet state="visible" name="общий доход" sheetId="5" r:id="rId8"/>
    <sheet state="visible" name="Мадина" sheetId="6" r:id="rId9"/>
  </sheets>
  <definedNames/>
  <calcPr/>
  <extLst>
    <ext uri="GoogleSheetsCustomDataVersion2">
      <go:sheetsCustomData xmlns:go="http://customooxmlschemas.google.com/" r:id="rId10" roundtripDataChecksum="vIg/LIE+yzdJLEIw8skD5YACwIAWHIxFzyCqCjJbsQ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">
      <text>
        <t xml:space="preserve">======
ID#AAAB4HYqriE
khurs    (2026-04-08 10:37:21)
сумма может поментся так как брони есть ещй в этом месяце</t>
      </text>
    </comment>
    <comment authorId="0" ref="G10">
      <text>
        <t xml:space="preserve">======
ID#AAAB4HYqriI
khurs    (2026-04-08 10:37:21)
по 100 шт</t>
      </text>
    </comment>
  </commentList>
  <extLst>
    <ext uri="GoogleSheetsCustomDataVersion2">
      <go:sheetsCustomData xmlns:go="http://customooxmlschemas.google.com/" r:id="rId1" roundtripDataSignature="AMtx7mixZwW+ql61QCJXN1rxiy6VFC5F4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======
ID#AAAB4HYqriA
khurs    (2026-04-08 10:37:21)
за кушетку</t>
      </text>
    </comment>
  </commentList>
  <extLst>
    <ext uri="GoogleSheetsCustomDataVersion2">
      <go:sheetsCustomData xmlns:go="http://customooxmlschemas.google.com/" r:id="rId1" roundtripDataSignature="AMtx7mgo5BlCqpKH/oZ85V7WJx7h5MnZkg=="/>
    </ext>
  </extLst>
</comments>
</file>

<file path=xl/sharedStrings.xml><?xml version="1.0" encoding="utf-8"?>
<sst xmlns="http://schemas.openxmlformats.org/spreadsheetml/2006/main" count="1052" uniqueCount="360">
  <si>
    <t>АПРЕЛЬ</t>
  </si>
  <si>
    <t>Дата</t>
  </si>
  <si>
    <t>Откуда</t>
  </si>
  <si>
    <t>Кол-во ночей</t>
  </si>
  <si>
    <t>Суммы</t>
  </si>
  <si>
    <t>Доллары</t>
  </si>
  <si>
    <t>Способ оплаты</t>
  </si>
  <si>
    <t>Комментарий</t>
  </si>
  <si>
    <t>ИТОГО</t>
  </si>
  <si>
    <t>Черная</t>
  </si>
  <si>
    <t>Имя</t>
  </si>
  <si>
    <t>Страна</t>
  </si>
  <si>
    <t>Квартира</t>
  </si>
  <si>
    <t>20-21.04</t>
  </si>
  <si>
    <t>Объект</t>
  </si>
  <si>
    <t>Дата заезда</t>
  </si>
  <si>
    <t>Категория расхода</t>
  </si>
  <si>
    <t>Дата выезда</t>
  </si>
  <si>
    <t>Описание</t>
  </si>
  <si>
    <t>Сумма</t>
  </si>
  <si>
    <t>Контакты</t>
  </si>
  <si>
    <t>Booking</t>
  </si>
  <si>
    <t>Тэги</t>
  </si>
  <si>
    <t>Канал бронирования</t>
  </si>
  <si>
    <t>РАСХОД ЗА МЕСЯЦ ЯНВАРЬ</t>
  </si>
  <si>
    <t>перевод</t>
  </si>
  <si>
    <t>сумма указана с вычетом комисии</t>
  </si>
  <si>
    <t>04-06.04</t>
  </si>
  <si>
    <t>01.01.2026</t>
  </si>
  <si>
    <t>20-21.05</t>
  </si>
  <si>
    <t>Black Pearl</t>
  </si>
  <si>
    <t>Аренда</t>
  </si>
  <si>
    <t>3 месяца</t>
  </si>
  <si>
    <t>25 539 000</t>
  </si>
  <si>
    <t>наличные</t>
  </si>
  <si>
    <t>Оплата за январь, февраль, март</t>
  </si>
  <si>
    <t>39 985 000</t>
  </si>
  <si>
    <t>23-25.04</t>
  </si>
  <si>
    <t>Airbnb</t>
  </si>
  <si>
    <t>вывод Payoneer</t>
  </si>
  <si>
    <t>коммисия от приложения, банка</t>
  </si>
  <si>
    <t>06-09.04</t>
  </si>
  <si>
    <t>23-25.05</t>
  </si>
  <si>
    <t>Комиссия риелтора</t>
  </si>
  <si>
    <t>единаразово</t>
  </si>
  <si>
    <t>4 256 000</t>
  </si>
  <si>
    <t>карта</t>
  </si>
  <si>
    <t>Риелтор Альбина</t>
  </si>
  <si>
    <t>26-29.04</t>
  </si>
  <si>
    <t>09-12.04</t>
  </si>
  <si>
    <t>26-29.05</t>
  </si>
  <si>
    <t>Белая</t>
  </si>
  <si>
    <t>Дорога</t>
  </si>
  <si>
    <t>2 раза</t>
  </si>
  <si>
    <t>972 000</t>
  </si>
  <si>
    <t>общее 4 поездки на поезде</t>
  </si>
  <si>
    <t>29-30.04</t>
  </si>
  <si>
    <t>Проживание</t>
  </si>
  <si>
    <t>1 раз</t>
  </si>
  <si>
    <t>608 000</t>
  </si>
  <si>
    <t>1 раз остались, цена за 1 человека</t>
  </si>
  <si>
    <t>12-13.04</t>
  </si>
  <si>
    <t>29-30.05</t>
  </si>
  <si>
    <t>УБОРКА</t>
  </si>
  <si>
    <t>Уборка</t>
  </si>
  <si>
    <t>за месяц</t>
  </si>
  <si>
    <t>850 000</t>
  </si>
  <si>
    <t>за 3 уборки</t>
  </si>
  <si>
    <t>03-05.04</t>
  </si>
  <si>
    <t>Сарафаное радио</t>
  </si>
  <si>
    <t>Wi fi</t>
  </si>
  <si>
    <t>без комиссии</t>
  </si>
  <si>
    <t>225 000</t>
  </si>
  <si>
    <t>с установкой+тариф</t>
  </si>
  <si>
    <t>13-15.04</t>
  </si>
  <si>
    <t>03-05.05</t>
  </si>
  <si>
    <t>Моющие средства</t>
  </si>
  <si>
    <t>на месяц</t>
  </si>
  <si>
    <t>600 000</t>
  </si>
  <si>
    <t>ничего не было</t>
  </si>
  <si>
    <t>Гостинечная гигиена</t>
  </si>
  <si>
    <t>зависит от гостей</t>
  </si>
  <si>
    <t xml:space="preserve"> 1 761 000</t>
  </si>
  <si>
    <t>набор шампуней, зубной, ватный, салфетки,тапочки</t>
  </si>
  <si>
    <t>16-19.04</t>
  </si>
  <si>
    <t>Постельные и ванные пренадлежности</t>
  </si>
  <si>
    <t>950 000</t>
  </si>
  <si>
    <t>халаты*2, полоцентце*2, постельное бельё*1</t>
  </si>
  <si>
    <t>Май</t>
  </si>
  <si>
    <t>Ремонт ванны</t>
  </si>
  <si>
    <t>350 000</t>
  </si>
  <si>
    <t>протекала</t>
  </si>
  <si>
    <t>21-23.04</t>
  </si>
  <si>
    <t>Чайный набор</t>
  </si>
  <si>
    <t>1-2 месяца</t>
  </si>
  <si>
    <t>414 000</t>
  </si>
  <si>
    <t>чай зел-чер, кофе,сахар,соль*3</t>
  </si>
  <si>
    <t>Дорога*3</t>
  </si>
  <si>
    <t>1 800 000</t>
  </si>
  <si>
    <t>в самарканд+в внутри города</t>
  </si>
  <si>
    <t>23-24.04</t>
  </si>
  <si>
    <t>Бытовая утварь</t>
  </si>
  <si>
    <t>1 060 000</t>
  </si>
  <si>
    <t>кухня,ванна,гостинная</t>
  </si>
  <si>
    <t>Декорации</t>
  </si>
  <si>
    <t>вазы,книги,цветочки</t>
  </si>
  <si>
    <t>25-26.04</t>
  </si>
  <si>
    <t>165 000</t>
  </si>
  <si>
    <t xml:space="preserve">оплата за месяц </t>
  </si>
  <si>
    <t>РАСХОД ЗА МЕСЯЦ ФЕВРАЛЬ</t>
  </si>
  <si>
    <t>26-27.04</t>
  </si>
  <si>
    <t>Частиный закуп моющ средст и порошка</t>
  </si>
  <si>
    <t>300 000</t>
  </si>
  <si>
    <t>5 931 000</t>
  </si>
  <si>
    <t>Уборка*4</t>
  </si>
  <si>
    <t>800 000</t>
  </si>
  <si>
    <t>27-29.04</t>
  </si>
  <si>
    <t>Июнь</t>
  </si>
  <si>
    <t>Частинчый закуп мелочи</t>
  </si>
  <si>
    <t>100 000</t>
  </si>
  <si>
    <t>в месяц</t>
  </si>
  <si>
    <t>Детский стульчик</t>
  </si>
  <si>
    <t>709 000</t>
  </si>
  <si>
    <t>на все квартиры</t>
  </si>
  <si>
    <t>Раскладушка</t>
  </si>
  <si>
    <t xml:space="preserve">907 250 </t>
  </si>
  <si>
    <t>Комунальные платежи</t>
  </si>
  <si>
    <t>700 000</t>
  </si>
  <si>
    <t>ночи</t>
  </si>
  <si>
    <t>итого сумм</t>
  </si>
  <si>
    <t>Декоративные удоства</t>
  </si>
  <si>
    <t>$</t>
  </si>
  <si>
    <t>450 000</t>
  </si>
  <si>
    <t>Уборка*5</t>
  </si>
  <si>
    <t>по количеству броней</t>
  </si>
  <si>
    <t>1 000 000</t>
  </si>
  <si>
    <t>РАСХОД ЗА МЕСЯЦ МАРТ</t>
  </si>
  <si>
    <t>White/Black Pearl</t>
  </si>
  <si>
    <t>Дорога*4</t>
  </si>
  <si>
    <t>2 400 000</t>
  </si>
  <si>
    <t>102 000</t>
  </si>
  <si>
    <t>White Pearl</t>
  </si>
  <si>
    <t>за 3 месяца</t>
  </si>
  <si>
    <t>21 891 000</t>
  </si>
  <si>
    <t>март,апрель,май</t>
  </si>
  <si>
    <t>3 648 000</t>
  </si>
  <si>
    <t>один раз</t>
  </si>
  <si>
    <t>250 000</t>
  </si>
  <si>
    <t>Коммунальные</t>
  </si>
  <si>
    <t>150 000</t>
  </si>
  <si>
    <t>613 300</t>
  </si>
  <si>
    <t>Постельные принадлежности</t>
  </si>
  <si>
    <t>580 000</t>
  </si>
  <si>
    <t>подушки*3 одеяло 2спальное</t>
  </si>
  <si>
    <t>Постельные пренадлежности</t>
  </si>
  <si>
    <t>одеяло на 1 спалку, 1 спал комлект, 2 спальный комплект</t>
  </si>
  <si>
    <t>Ванные пренадлежности</t>
  </si>
  <si>
    <t>салфетки, зубной набор и тд</t>
  </si>
  <si>
    <t>Покрывало</t>
  </si>
  <si>
    <t>01-03.05</t>
  </si>
  <si>
    <t>сумма указана с вычетом комиссии</t>
  </si>
  <si>
    <t>Бытовая утварь в куню</t>
  </si>
  <si>
    <t>493 000</t>
  </si>
  <si>
    <t>06-08.05</t>
  </si>
  <si>
    <t>01-03.06</t>
  </si>
  <si>
    <t>Бытовая утварь в квартиру</t>
  </si>
  <si>
    <t>430 000</t>
  </si>
  <si>
    <t>Вывод Payoneer</t>
  </si>
  <si>
    <t>Стаканы</t>
  </si>
  <si>
    <t>комиссия от приложения,банка</t>
  </si>
  <si>
    <t>64 750</t>
  </si>
  <si>
    <t>08-10.05</t>
  </si>
  <si>
    <t>03-05.06</t>
  </si>
  <si>
    <t>Сейф ключи</t>
  </si>
  <si>
    <t>760 000</t>
  </si>
  <si>
    <t>2 шт в обе кв</t>
  </si>
  <si>
    <t>05-06.05</t>
  </si>
  <si>
    <t>цветочки, книжки,стаканчики</t>
  </si>
  <si>
    <t>10-18.05</t>
  </si>
  <si>
    <t>Сарафанное радио</t>
  </si>
  <si>
    <t>05-06.06</t>
  </si>
  <si>
    <t>спальная постель, полотенца</t>
  </si>
  <si>
    <t>750 000</t>
  </si>
  <si>
    <t>доп постель</t>
  </si>
  <si>
    <t>06-07.05</t>
  </si>
  <si>
    <t>вода, бумага</t>
  </si>
  <si>
    <t>ежемесячно</t>
  </si>
  <si>
    <t>187 280</t>
  </si>
  <si>
    <t>4 блока воды, 2 блока бумаги</t>
  </si>
  <si>
    <t>21-25.05</t>
  </si>
  <si>
    <t>06-07.06</t>
  </si>
  <si>
    <t>доставка</t>
  </si>
  <si>
    <t>30 000</t>
  </si>
  <si>
    <t>доставка бумаги</t>
  </si>
  <si>
    <t>07-08.05</t>
  </si>
  <si>
    <t>уборка</t>
  </si>
  <si>
    <t>ежедневно</t>
  </si>
  <si>
    <t>2+1 уборка</t>
  </si>
  <si>
    <t>25-26.05</t>
  </si>
  <si>
    <t>07-08.06</t>
  </si>
  <si>
    <t>утюг</t>
  </si>
  <si>
    <t>263 500</t>
  </si>
  <si>
    <t>с доставкой</t>
  </si>
  <si>
    <t>09-10.05</t>
  </si>
  <si>
    <t>гладильная доска</t>
  </si>
  <si>
    <t>178 500</t>
  </si>
  <si>
    <t>28-30.05</t>
  </si>
  <si>
    <t>09-10.06</t>
  </si>
  <si>
    <t>одеяло+гигиена</t>
  </si>
  <si>
    <t>790 000</t>
  </si>
  <si>
    <t>2 пледа+шампуни</t>
  </si>
  <si>
    <t>10-13.05</t>
  </si>
  <si>
    <t>фен,утюг</t>
  </si>
  <si>
    <t>564 500</t>
  </si>
  <si>
    <t>30-31.05</t>
  </si>
  <si>
    <t>гладилка</t>
  </si>
  <si>
    <t>257 550</t>
  </si>
  <si>
    <t>10-13.06</t>
  </si>
  <si>
    <t>пополнение</t>
  </si>
  <si>
    <t>183 400</t>
  </si>
  <si>
    <t>13-15.05</t>
  </si>
  <si>
    <t>400 000</t>
  </si>
  <si>
    <t>2 шт</t>
  </si>
  <si>
    <t>13-15.06</t>
  </si>
  <si>
    <t>16-17.05</t>
  </si>
  <si>
    <t>16-17.06</t>
  </si>
  <si>
    <t>17-18.05</t>
  </si>
  <si>
    <t>комуннальные</t>
  </si>
  <si>
    <t>газ,свет, вай фай</t>
  </si>
  <si>
    <t>17-18.06</t>
  </si>
  <si>
    <t>постельное бельё</t>
  </si>
  <si>
    <t>2 комлекта</t>
  </si>
  <si>
    <t>18-19.05</t>
  </si>
  <si>
    <t>раскладушка</t>
  </si>
  <si>
    <t>18-19.06</t>
  </si>
  <si>
    <t>1 шт</t>
  </si>
  <si>
    <t>19-20.05</t>
  </si>
  <si>
    <t>регистрация</t>
  </si>
  <si>
    <t>4 шт</t>
  </si>
  <si>
    <t>оплата аренды</t>
  </si>
  <si>
    <t>19-20.06</t>
  </si>
  <si>
    <t>за месяц апрель</t>
  </si>
  <si>
    <t xml:space="preserve">уборка </t>
  </si>
  <si>
    <t xml:space="preserve">наличные </t>
  </si>
  <si>
    <t>17 шт</t>
  </si>
  <si>
    <t>топер</t>
  </si>
  <si>
    <t>20-21.06</t>
  </si>
  <si>
    <t>21-22.05</t>
  </si>
  <si>
    <t>дорого</t>
  </si>
  <si>
    <t>21-22.06</t>
  </si>
  <si>
    <t>22-23.05</t>
  </si>
  <si>
    <t>фотограф</t>
  </si>
  <si>
    <t>хоз товары</t>
  </si>
  <si>
    <t>22-23.06</t>
  </si>
  <si>
    <t>23-24.05</t>
  </si>
  <si>
    <t>микроволновка</t>
  </si>
  <si>
    <t>гладильные принадлежности</t>
  </si>
  <si>
    <t>3 шт</t>
  </si>
  <si>
    <t>РАСХОД АПРЕЛЬ</t>
  </si>
  <si>
    <t>23-24.06</t>
  </si>
  <si>
    <t>24-25.05</t>
  </si>
  <si>
    <t>19 213 750</t>
  </si>
  <si>
    <t>24-25.06</t>
  </si>
  <si>
    <t>бельё и тапочки</t>
  </si>
  <si>
    <t>25-27.05</t>
  </si>
  <si>
    <t>гигиена и бельё</t>
  </si>
  <si>
    <t>5 шт</t>
  </si>
  <si>
    <t>25-27.06</t>
  </si>
  <si>
    <t>27-29.05</t>
  </si>
  <si>
    <t>27-29.06</t>
  </si>
  <si>
    <t>Black</t>
  </si>
  <si>
    <t>аренда</t>
  </si>
  <si>
    <t>месяц</t>
  </si>
  <si>
    <t>29-30.06</t>
  </si>
  <si>
    <t>wi fi</t>
  </si>
  <si>
    <t>White</t>
  </si>
  <si>
    <t xml:space="preserve">комунальные </t>
  </si>
  <si>
    <t>свет</t>
  </si>
  <si>
    <t>РАСХОД МАЙ</t>
  </si>
  <si>
    <t>30-31.06</t>
  </si>
  <si>
    <t>16 411 000</t>
  </si>
  <si>
    <t>вода</t>
  </si>
  <si>
    <t>единарозово</t>
  </si>
  <si>
    <t xml:space="preserve">вся гигиена </t>
  </si>
  <si>
    <t>на 3-6 месяцев</t>
  </si>
  <si>
    <t>20 уборок</t>
  </si>
  <si>
    <t>Средства для уборки</t>
  </si>
  <si>
    <t>900 000</t>
  </si>
  <si>
    <t>9 гостям</t>
  </si>
  <si>
    <t>дорога в Самарканд</t>
  </si>
  <si>
    <t>комунальные</t>
  </si>
  <si>
    <t>РАСХОД ИЮЛЬ</t>
  </si>
  <si>
    <t>Площадка (Booking/Airbnb и т.д.)</t>
  </si>
  <si>
    <t>Количество ночей</t>
  </si>
  <si>
    <t>Доход за проживание</t>
  </si>
  <si>
    <t>Доп. доходы</t>
  </si>
  <si>
    <t>Комиссия площадки</t>
  </si>
  <si>
    <t>мусор</t>
  </si>
  <si>
    <t>Итого доход</t>
  </si>
  <si>
    <t>04-05.06</t>
  </si>
  <si>
    <t>оплата</t>
  </si>
  <si>
    <t>часть за июль</t>
  </si>
  <si>
    <t>сумма указанная с вычетом комиссии</t>
  </si>
  <si>
    <t>01-04.06</t>
  </si>
  <si>
    <t>остаток за июль</t>
  </si>
  <si>
    <t>04-05.07</t>
  </si>
  <si>
    <t>за июль</t>
  </si>
  <si>
    <t>сарафанное радио</t>
  </si>
  <si>
    <t>05-06.07</t>
  </si>
  <si>
    <t>дозатор для мыла</t>
  </si>
  <si>
    <t>набор ножей</t>
  </si>
  <si>
    <t>07-09.06</t>
  </si>
  <si>
    <t>06-07.07</t>
  </si>
  <si>
    <t>ершик</t>
  </si>
  <si>
    <t>ершики</t>
  </si>
  <si>
    <t>13-27.06</t>
  </si>
  <si>
    <t>New</t>
  </si>
  <si>
    <t>моющие средства</t>
  </si>
  <si>
    <t>для уборки</t>
  </si>
  <si>
    <t>11-12.06</t>
  </si>
  <si>
    <t>28-01.07</t>
  </si>
  <si>
    <t>11-12.07</t>
  </si>
  <si>
    <t>12-13.06</t>
  </si>
  <si>
    <t>закуп узум</t>
  </si>
  <si>
    <t>ложки для обуви</t>
  </si>
  <si>
    <t>12-13.07</t>
  </si>
  <si>
    <t>гель для стирки</t>
  </si>
  <si>
    <t>13-14.06</t>
  </si>
  <si>
    <t>13-14.07</t>
  </si>
  <si>
    <t>газ</t>
  </si>
  <si>
    <t>14-15.06</t>
  </si>
  <si>
    <t>фотографии</t>
  </si>
  <si>
    <t>14-15.07</t>
  </si>
  <si>
    <t>15-18.06</t>
  </si>
  <si>
    <t>вешалки</t>
  </si>
  <si>
    <t>вывод Piyoneer</t>
  </si>
  <si>
    <t>мусорные ведра</t>
  </si>
  <si>
    <t>15-18.07</t>
  </si>
  <si>
    <t>общие</t>
  </si>
  <si>
    <t>16 уборок</t>
  </si>
  <si>
    <t>18-21.06</t>
  </si>
  <si>
    <t>расходы</t>
  </si>
  <si>
    <t>дорога, расходы регистрации</t>
  </si>
  <si>
    <t>18-21.07</t>
  </si>
  <si>
    <t>21-23.06</t>
  </si>
  <si>
    <t>21-23.07</t>
  </si>
  <si>
    <t>24-26.06</t>
  </si>
  <si>
    <t>без комисси</t>
  </si>
  <si>
    <t>24-26.07</t>
  </si>
  <si>
    <t>26-29.06</t>
  </si>
  <si>
    <t>26-29.07</t>
  </si>
  <si>
    <t>20.02 - 9 500 000 UZS</t>
  </si>
  <si>
    <t>22.02 - 7 300 000 UZS</t>
  </si>
  <si>
    <t>03.03 - 7 300 000 UZS</t>
  </si>
  <si>
    <t>16.03 - 3 600 000 UZS</t>
  </si>
  <si>
    <t>400$</t>
  </si>
  <si>
    <t>500$</t>
  </si>
  <si>
    <t>300$</t>
  </si>
  <si>
    <t>536$</t>
  </si>
  <si>
    <t>3236$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</si>
</sst>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.mm\.yyyy"/>
    <numFmt numFmtId="165" formatCode="dd\.mmm"/>
    <numFmt numFmtId="166" formatCode="dd.mm.yyyy"/>
    <numFmt numFmtId="167" formatCode="dd.mm"/>
  </numFmts>
  <fonts count="1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FFFFFF"/>
      <name val="Calibri"/>
    </font>
    <font>
      <b/>
      <i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>
      <b/>
      <sz val="16.0"/>
      <color theme="1"/>
      <name val="Calibri"/>
    </font>
    <font>
      <sz val="12.0"/>
      <color theme="1"/>
      <name val="Arial"/>
    </font>
    <font>
      <b/>
      <sz val="13.0"/>
      <color theme="1"/>
      <name val="Calibri"/>
      <scheme val="minor"/>
    </font>
    <font>
      <i/>
      <color theme="1"/>
      <name val="Times New Roman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0"/>
      <name val="Calibri"/>
    </font>
    <font/>
    <font>
      <color rgb="FFFFFFFF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/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horizontal="center" shrinkToFit="0" vertical="center" wrapText="1"/>
    </xf>
    <xf borderId="3" fillId="4" fontId="4" numFmtId="0" xfId="0" applyBorder="1" applyFont="1"/>
    <xf borderId="1" fillId="6" fontId="2" numFmtId="0" xfId="0" applyAlignment="1" applyBorder="1" applyFont="1">
      <alignment horizontal="center" readingOrder="0" shrinkToFit="0" vertical="center" wrapText="1"/>
    </xf>
    <xf borderId="0" fillId="4" fontId="4" numFmtId="0" xfId="0" applyFont="1"/>
    <xf borderId="0" fillId="0" fontId="5" numFmtId="0" xfId="0" applyAlignment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/>
    </xf>
    <xf borderId="0" fillId="0" fontId="6" numFmtId="0" xfId="0" applyAlignment="1" applyFont="1">
      <alignment horizontal="center" shrinkToFit="0" vertical="center" wrapText="1"/>
    </xf>
    <xf borderId="0" fillId="7" fontId="2" numFmtId="0" xfId="0" applyAlignment="1" applyFill="1" applyFont="1">
      <alignment horizontal="center" shrinkToFit="0" vertical="center" wrapText="1"/>
    </xf>
    <xf borderId="1" fillId="4" fontId="4" numFmtId="0" xfId="0" applyAlignment="1" applyBorder="1" applyFont="1">
      <alignment readingOrder="0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4" fontId="4" numFmtId="0" xfId="0" applyBorder="1" applyFont="1"/>
    <xf borderId="1" fillId="8" fontId="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/>
    </xf>
    <xf borderId="4" fillId="4" fontId="7" numFmtId="0" xfId="0" applyAlignment="1" applyBorder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5" fillId="10" fontId="5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6" fillId="11" fontId="8" numFmtId="0" xfId="0" applyAlignment="1" applyBorder="1" applyFont="1">
      <alignment horizontal="center" shrinkToFit="0" vertical="center" wrapText="1"/>
    </xf>
    <xf borderId="5" fillId="1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" fillId="12" fontId="8" numFmtId="0" xfId="0" applyAlignment="1" applyBorder="1" applyFill="1" applyFont="1">
      <alignment horizontal="center" shrinkToFit="0" vertical="center" wrapText="1"/>
    </xf>
    <xf borderId="1" fillId="11" fontId="8" numFmtId="164" xfId="0" applyAlignment="1" applyBorder="1" applyFont="1" applyNumberFormat="1">
      <alignment horizontal="center" shrinkToFit="0" vertical="center" wrapText="1"/>
    </xf>
    <xf borderId="1" fillId="11" fontId="8" numFmtId="4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horizontal="center"/>
    </xf>
    <xf borderId="3" fillId="0" fontId="4" numFmtId="0" xfId="0" applyBorder="1" applyFont="1"/>
    <xf borderId="7" fillId="11" fontId="8" numFmtId="0" xfId="0" applyAlignment="1" applyBorder="1" applyFont="1">
      <alignment horizontal="center" shrinkToFit="0" vertical="center" wrapText="1"/>
    </xf>
    <xf borderId="8" fillId="11" fontId="8" numFmtId="0" xfId="0" applyAlignment="1" applyBorder="1" applyFont="1">
      <alignment horizontal="center" shrinkToFit="0" vertical="center" wrapText="1"/>
    </xf>
    <xf borderId="7" fillId="12" fontId="8" numFmtId="0" xfId="0" applyAlignment="1" applyBorder="1" applyFont="1">
      <alignment horizontal="center" shrinkToFit="0" vertical="center" wrapText="1"/>
    </xf>
    <xf borderId="7" fillId="11" fontId="8" numFmtId="164" xfId="0" applyAlignment="1" applyBorder="1" applyFont="1" applyNumberFormat="1">
      <alignment horizontal="center" shrinkToFit="0" vertical="center" wrapText="1"/>
    </xf>
    <xf borderId="7" fillId="11" fontId="8" numFmtId="49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readingOrder="0"/>
    </xf>
    <xf borderId="1" fillId="13" fontId="3" numFmtId="0" xfId="0" applyAlignment="1" applyBorder="1" applyFill="1" applyFont="1">
      <alignment horizontal="center" readingOrder="0"/>
    </xf>
    <xf borderId="1" fillId="9" fontId="5" numFmtId="0" xfId="0" applyAlignment="1" applyBorder="1" applyFont="1">
      <alignment horizontal="center" shrinkToFit="0" vertical="center" wrapText="1"/>
    </xf>
    <xf borderId="1" fillId="8" fontId="5" numFmtId="164" xfId="0" applyAlignment="1" applyBorder="1" applyFont="1" applyNumberFormat="1">
      <alignment horizontal="center" shrinkToFit="0" vertical="center" wrapText="1"/>
    </xf>
    <xf borderId="5" fillId="10" fontId="5" numFmtId="164" xfId="0" applyAlignment="1" applyBorder="1" applyFont="1" applyNumberFormat="1">
      <alignment horizontal="center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4" fontId="5" numFmtId="164" xfId="0" applyAlignment="1" applyFont="1" applyNumberFormat="1">
      <alignment horizontal="center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4" fontId="1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9" fillId="12" fontId="14" numFmtId="0" xfId="0" applyBorder="1" applyFont="1"/>
    <xf borderId="1" fillId="4" fontId="5" numFmtId="0" xfId="0" applyAlignment="1" applyBorder="1" applyFont="1">
      <alignment horizontal="center" shrinkToFit="0" vertical="center" wrapText="1"/>
    </xf>
    <xf borderId="10" fillId="9" fontId="11" numFmtId="0" xfId="0" applyAlignment="1" applyBorder="1" applyFont="1">
      <alignment horizontal="center" readingOrder="0" shrinkToFit="0" vertical="center" wrapText="1"/>
    </xf>
    <xf borderId="11" fillId="11" fontId="14" numFmtId="0" xfId="0" applyBorder="1" applyFont="1"/>
    <xf borderId="12" fillId="4" fontId="5" numFmtId="0" xfId="0" applyAlignment="1" applyBorder="1" applyFont="1">
      <alignment horizontal="center" shrinkToFit="0" vertical="center" wrapText="1"/>
    </xf>
    <xf borderId="5" fillId="14" fontId="5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readingOrder="0" shrinkToFit="0" vertical="center" wrapText="1"/>
    </xf>
    <xf borderId="5" fillId="10" fontId="5" numFmtId="164" xfId="0" applyAlignment="1" applyBorder="1" applyFont="1" applyNumberFormat="1">
      <alignment horizontal="center" readingOrder="0" shrinkToFit="0" vertical="center" wrapText="1"/>
    </xf>
    <xf borderId="5" fillId="10" fontId="5" numFmtId="0" xfId="0" applyAlignment="1" applyBorder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1" fillId="9" fontId="5" numFmtId="164" xfId="0" applyAlignment="1" applyBorder="1" applyFont="1" applyNumberFormat="1">
      <alignment horizontal="center" shrinkToFit="0" vertical="center" wrapText="1"/>
    </xf>
    <xf borderId="5" fillId="14" fontId="5" numFmtId="0" xfId="0" applyAlignment="1" applyBorder="1" applyFont="1">
      <alignment horizontal="center" readingOrder="0" shrinkToFit="0" vertical="center" wrapText="1"/>
    </xf>
    <xf borderId="14" fillId="4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4" fillId="4" fontId="7" numFmtId="0" xfId="0" applyAlignment="1" applyBorder="1" applyFont="1">
      <alignment horizontal="center" shrinkToFit="0" vertical="center" wrapText="1"/>
    </xf>
    <xf borderId="1" fillId="9" fontId="5" numFmtId="165" xfId="0" applyAlignment="1" applyBorder="1" applyFont="1" applyNumberFormat="1">
      <alignment horizontal="center" shrinkToFit="0" vertical="center" wrapText="1"/>
    </xf>
    <xf borderId="0" fillId="0" fontId="15" numFmtId="0" xfId="0" applyFont="1"/>
    <xf borderId="0" fillId="0" fontId="5" numFmtId="164" xfId="0" applyFont="1" applyNumberFormat="1"/>
    <xf borderId="0" fillId="0" fontId="4" numFmtId="0" xfId="0" applyFont="1"/>
    <xf borderId="0" fillId="0" fontId="5" numFmtId="165" xfId="0" applyFont="1" applyNumberFormat="1"/>
    <xf borderId="5" fillId="4" fontId="5" numFmtId="0" xfId="0" applyBorder="1" applyFont="1"/>
    <xf borderId="5" fillId="15" fontId="5" numFmtId="164" xfId="0" applyBorder="1" applyFill="1" applyFont="1" applyNumberFormat="1"/>
    <xf borderId="5" fillId="12" fontId="5" numFmtId="0" xfId="0" applyBorder="1" applyFont="1"/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4" fontId="5" numFmtId="0" xfId="0" applyAlignment="1" applyBorder="1" applyFont="1">
      <alignment readingOrder="0"/>
    </xf>
    <xf borderId="0" fillId="0" fontId="11" numFmtId="0" xfId="0" applyFont="1"/>
    <xf borderId="9" fillId="11" fontId="14" numFmtId="0" xfId="0" applyBorder="1" applyFont="1"/>
    <xf borderId="11" fillId="12" fontId="14" numFmtId="0" xfId="0" applyBorder="1" applyFont="1"/>
    <xf borderId="0" fillId="0" fontId="4" numFmtId="0" xfId="0" applyFont="1"/>
    <xf borderId="0" fillId="0" fontId="4" numFmtId="167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4" fontId="5" numFmtId="0" xfId="0" applyFont="1"/>
    <xf borderId="0" fillId="16" fontId="4" numFmtId="167" xfId="0" applyAlignment="1" applyFill="1" applyFont="1" applyNumberFormat="1">
      <alignment horizontal="center" readingOrder="0"/>
    </xf>
    <xf borderId="0" fillId="16" fontId="4" numFmtId="0" xfId="0" applyAlignment="1" applyFont="1">
      <alignment horizontal="center" readingOrder="0"/>
    </xf>
    <xf borderId="5" fillId="17" fontId="5" numFmtId="0" xfId="0" applyAlignment="1" applyBorder="1" applyFill="1" applyFont="1">
      <alignment readingOrder="0"/>
    </xf>
    <xf borderId="5" fillId="17" fontId="5" numFmtId="0" xfId="0" applyBorder="1" applyFont="1"/>
    <xf borderId="0" fillId="0" fontId="4" numFmtId="167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4">
    <tableStyle count="3" pivot="0" name="Расходы-style">
      <tableStyleElement dxfId="1" type="headerRow"/>
      <tableStyleElement dxfId="2" type="firstRowStripe"/>
      <tableStyleElement dxfId="3" type="secondRowStripe"/>
    </tableStyle>
    <tableStyle count="3" pivot="0" name="База данных-style">
      <tableStyleElement dxfId="1" type="headerRow"/>
      <tableStyleElement dxfId="2" type="firstRowStripe"/>
      <tableStyleElement dxfId="3" type="secondRowStripe"/>
    </tableStyle>
    <tableStyle count="2" pivot="0" name="Расходы-style 2">
      <tableStyleElement dxfId="3" type="firstRowStripe"/>
      <tableStyleElement dxfId="2" type="secondRowStripe"/>
    </tableStyle>
    <tableStyle count="3" pivot="0" name="общий доход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7" displayName="Table_1" name="Table_1" id="1">
  <tableColumns count="8">
    <tableColumn name="Дата" id="1"/>
    <tableColumn name="Объект" id="2"/>
    <tableColumn name="Категория расхода" id="3"/>
    <tableColumn name="Описание" id="4"/>
    <tableColumn name="Сумма" id="5"/>
    <tableColumn name="Способ оплаты" id="6"/>
    <tableColumn name="Комментарий" id="7"/>
    <tableColumn name="РАСХОД ЗА МЕСЯЦ ЯНВАРЬ" id="8"/>
  </tableColumns>
  <tableStyleInfo name="Расходы-style" showColumnStripes="0" showFirstColumn="1" showLastColumn="1" showRowStripes="1"/>
</table>
</file>

<file path=xl/tables/table2.xml><?xml version="1.0" encoding="utf-8"?>
<table xmlns="http://schemas.openxmlformats.org/spreadsheetml/2006/main" headerRowCount="0" ref="A60:H118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Расходы-style 2" showColumnStripes="0" showFirstColumn="1" showLastColumn="1" showRowStripes="1"/>
</table>
</file>

<file path=xl/tables/table3.xml><?xml version="1.0" encoding="utf-8"?>
<table xmlns="http://schemas.openxmlformats.org/spreadsheetml/2006/main" ref="A1:I5" displayName="Table_2" name="Table_2" id="2">
  <tableColumns count="9">
    <tableColumn name="Имя" id="1"/>
    <tableColumn name="Страна" id="2"/>
    <tableColumn name="Квартира" id="3"/>
    <tableColumn name="Дата заезда" id="4"/>
    <tableColumn name="Дата выезда" id="5"/>
    <tableColumn name="Кол-во ночей" id="6"/>
    <tableColumn name="Контакты" id="7"/>
    <tableColumn name="Тэги" id="8"/>
    <tableColumn name="Канал бронирования" id="9"/>
  </tableColumns>
  <tableStyleInfo name="База данных-style" showColumnStripes="0" showFirstColumn="1" showLastColumn="1" showRowStripes="1"/>
</table>
</file>

<file path=xl/tables/table4.xml><?xml version="1.0" encoding="utf-8"?>
<table xmlns="http://schemas.openxmlformats.org/spreadsheetml/2006/main" ref="A1:H13" displayName="Table_4" name="Table_4" id="4">
  <tableColumns count="8">
    <tableColumn name="Дата" id="1"/>
    <tableColumn name="Объект" id="2"/>
    <tableColumn name="Площадка (Booking/Airbnb и т.д.)" id="3"/>
    <tableColumn name="Количество ночей" id="4"/>
    <tableColumn name="Доход за проживание" id="5"/>
    <tableColumn name="Доп. доходы" id="6"/>
    <tableColumn name="Комиссия площадки" id="7"/>
    <tableColumn name="Итого доход" id="8"/>
  </tableColumns>
  <tableStyleInfo name="общий доход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2.14"/>
    <col customWidth="1" min="3" max="3" width="14.14"/>
    <col customWidth="1" min="4" max="4" width="11.43"/>
    <col customWidth="1" min="5" max="7" width="18.86"/>
    <col customWidth="1" min="8" max="8" width="27.14"/>
    <col customWidth="1" min="9" max="9" width="22.57"/>
    <col customWidth="1" min="10" max="10" width="18.14"/>
    <col customWidth="1" min="11" max="11" width="19.14"/>
    <col customWidth="1" min="12" max="12" width="16.0"/>
    <col customWidth="1" min="13" max="13" width="19.14"/>
    <col customWidth="1" min="14" max="14" width="18.29"/>
    <col customWidth="1" min="15" max="15" width="20.86"/>
    <col customWidth="1" min="16" max="28" width="8.86"/>
  </cols>
  <sheetData>
    <row r="1" ht="33.0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2" t="s">
        <v>6</v>
      </c>
      <c r="G1" s="2" t="s">
        <v>7</v>
      </c>
      <c r="H1" s="4"/>
      <c r="I1" s="6" t="s">
        <v>1</v>
      </c>
      <c r="J1" s="8" t="s">
        <v>2</v>
      </c>
      <c r="K1" s="8" t="s">
        <v>3</v>
      </c>
      <c r="L1" s="2" t="s">
        <v>1</v>
      </c>
      <c r="M1" s="3" t="s">
        <v>2</v>
      </c>
      <c r="N1" s="3" t="s">
        <v>3</v>
      </c>
      <c r="O1" s="3" t="s">
        <v>4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7.75" customHeight="1">
      <c r="A2" s="15" t="s">
        <v>13</v>
      </c>
      <c r="B2" s="15" t="s">
        <v>21</v>
      </c>
      <c r="C2" s="15">
        <v>1.0</v>
      </c>
      <c r="D2" s="15">
        <v>318000.0</v>
      </c>
      <c r="E2" s="17"/>
      <c r="F2" s="15" t="s">
        <v>25</v>
      </c>
      <c r="G2" s="15" t="s">
        <v>26</v>
      </c>
      <c r="H2" s="19"/>
      <c r="I2" s="20" t="s">
        <v>27</v>
      </c>
      <c r="J2" s="20" t="s">
        <v>21</v>
      </c>
      <c r="K2" s="20">
        <v>2.0</v>
      </c>
      <c r="L2" s="15" t="s">
        <v>29</v>
      </c>
      <c r="M2" s="15" t="s">
        <v>21</v>
      </c>
      <c r="N2" s="15">
        <v>635999.0</v>
      </c>
      <c r="O2" s="15">
        <v>953998.0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4.0" customHeight="1">
      <c r="A3" s="15" t="s">
        <v>37</v>
      </c>
      <c r="B3" s="15" t="s">
        <v>38</v>
      </c>
      <c r="C3" s="15">
        <v>2.0</v>
      </c>
      <c r="D3" s="15"/>
      <c r="E3" s="15">
        <v>81.0</v>
      </c>
      <c r="F3" s="15" t="s">
        <v>39</v>
      </c>
      <c r="G3" s="15" t="s">
        <v>40</v>
      </c>
      <c r="H3" s="27"/>
      <c r="I3" s="20" t="s">
        <v>41</v>
      </c>
      <c r="J3" s="20" t="s">
        <v>21</v>
      </c>
      <c r="K3" s="20">
        <v>3.0</v>
      </c>
      <c r="L3" s="15" t="s">
        <v>42</v>
      </c>
      <c r="M3" s="15" t="s">
        <v>38</v>
      </c>
      <c r="N3" s="15">
        <v>3.0</v>
      </c>
      <c r="O3" s="15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5.5" customHeight="1">
      <c r="A4" s="15" t="s">
        <v>48</v>
      </c>
      <c r="B4" s="15" t="s">
        <v>38</v>
      </c>
      <c r="C4" s="15">
        <v>3.0</v>
      </c>
      <c r="D4" s="17"/>
      <c r="E4" s="15">
        <v>120.0</v>
      </c>
      <c r="F4" s="15" t="s">
        <v>39</v>
      </c>
      <c r="G4" s="15" t="s">
        <v>40</v>
      </c>
      <c r="H4" s="27"/>
      <c r="I4" s="20" t="s">
        <v>49</v>
      </c>
      <c r="J4" s="20" t="s">
        <v>21</v>
      </c>
      <c r="K4" s="20">
        <v>3.0</v>
      </c>
      <c r="L4" s="15" t="s">
        <v>50</v>
      </c>
      <c r="M4" s="15" t="s">
        <v>38</v>
      </c>
      <c r="N4" s="15">
        <v>4.0</v>
      </c>
      <c r="O4" s="17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33.75" customHeight="1">
      <c r="A5" s="15" t="s">
        <v>56</v>
      </c>
      <c r="B5" s="15" t="s">
        <v>21</v>
      </c>
      <c r="C5" s="15">
        <v>1.0</v>
      </c>
      <c r="D5" s="15">
        <v>422000.0</v>
      </c>
      <c r="E5" s="17"/>
      <c r="F5" s="15" t="s">
        <v>25</v>
      </c>
      <c r="G5" s="15" t="s">
        <v>26</v>
      </c>
      <c r="H5" s="27"/>
      <c r="I5" s="20" t="s">
        <v>61</v>
      </c>
      <c r="J5" s="20" t="s">
        <v>21</v>
      </c>
      <c r="K5" s="20">
        <v>1.0</v>
      </c>
      <c r="L5" s="15" t="s">
        <v>62</v>
      </c>
      <c r="M5" s="15" t="s">
        <v>21</v>
      </c>
      <c r="N5" s="15">
        <v>843999.0</v>
      </c>
      <c r="O5" s="15">
        <v>1265998.0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31.5" customHeight="1">
      <c r="A6" s="15" t="s">
        <v>68</v>
      </c>
      <c r="B6" s="15" t="s">
        <v>69</v>
      </c>
      <c r="C6" s="15">
        <v>2.0</v>
      </c>
      <c r="D6" s="15"/>
      <c r="E6" s="15">
        <v>60.0</v>
      </c>
      <c r="F6" s="15" t="s">
        <v>34</v>
      </c>
      <c r="G6" s="15" t="s">
        <v>71</v>
      </c>
      <c r="H6" s="27"/>
      <c r="I6" s="20" t="s">
        <v>74</v>
      </c>
      <c r="J6" s="20" t="s">
        <v>21</v>
      </c>
      <c r="K6" s="41"/>
      <c r="L6" s="15" t="s">
        <v>75</v>
      </c>
      <c r="M6" s="15" t="s">
        <v>69</v>
      </c>
      <c r="N6" s="15">
        <v>3.0</v>
      </c>
      <c r="O6" s="15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1.75" customHeight="1">
      <c r="A7" s="42"/>
      <c r="B7" s="17"/>
      <c r="C7" s="17"/>
      <c r="D7" s="17"/>
      <c r="E7" s="17"/>
      <c r="F7" s="17"/>
      <c r="G7" s="17"/>
      <c r="H7" s="27"/>
      <c r="I7" s="20" t="s">
        <v>84</v>
      </c>
      <c r="J7" s="20" t="s">
        <v>21</v>
      </c>
      <c r="K7" s="20">
        <v>3.0</v>
      </c>
      <c r="L7" s="42"/>
      <c r="M7" s="17"/>
      <c r="N7" s="17"/>
      <c r="O7" s="17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33.75" customHeight="1">
      <c r="A8" s="42"/>
      <c r="B8" s="17"/>
      <c r="C8" s="17"/>
      <c r="D8" s="17"/>
      <c r="E8" s="17"/>
      <c r="F8" s="17"/>
      <c r="G8" s="17"/>
      <c r="H8" s="27"/>
      <c r="I8" s="20" t="s">
        <v>92</v>
      </c>
      <c r="J8" s="20" t="s">
        <v>21</v>
      </c>
      <c r="K8" s="20">
        <v>2.0</v>
      </c>
      <c r="L8" s="42"/>
      <c r="M8" s="17"/>
      <c r="N8" s="17"/>
      <c r="O8" s="17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4.25" customHeight="1">
      <c r="A9" s="42"/>
      <c r="B9" s="17"/>
      <c r="C9" s="17"/>
      <c r="D9" s="17"/>
      <c r="E9" s="17"/>
      <c r="F9" s="17"/>
      <c r="G9" s="17"/>
      <c r="H9" s="27"/>
      <c r="I9" s="20" t="s">
        <v>100</v>
      </c>
      <c r="J9" s="20" t="s">
        <v>21</v>
      </c>
      <c r="K9" s="20">
        <v>1.0</v>
      </c>
      <c r="L9" s="42"/>
      <c r="M9" s="17"/>
      <c r="N9" s="17"/>
      <c r="O9" s="17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4.25" customHeight="1">
      <c r="A10" s="42"/>
      <c r="B10" s="17"/>
      <c r="C10" s="17"/>
      <c r="D10" s="17"/>
      <c r="E10" s="17"/>
      <c r="F10" s="17"/>
      <c r="G10" s="17"/>
      <c r="H10" s="27"/>
      <c r="I10" s="20" t="s">
        <v>106</v>
      </c>
      <c r="J10" s="20" t="s">
        <v>21</v>
      </c>
      <c r="K10" s="20">
        <v>1.0</v>
      </c>
      <c r="L10" s="42"/>
      <c r="M10" s="17"/>
      <c r="N10" s="17"/>
      <c r="O10" s="17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14.25" customHeight="1">
      <c r="A11" s="42"/>
      <c r="B11" s="17"/>
      <c r="C11" s="17"/>
      <c r="D11" s="17"/>
      <c r="E11" s="17"/>
      <c r="F11" s="17"/>
      <c r="G11" s="17"/>
      <c r="H11" s="27"/>
      <c r="I11" s="20" t="s">
        <v>110</v>
      </c>
      <c r="J11" s="20" t="s">
        <v>21</v>
      </c>
      <c r="K11" s="20">
        <v>1.0</v>
      </c>
      <c r="L11" s="42"/>
      <c r="M11" s="17"/>
      <c r="N11" s="17"/>
      <c r="O11" s="17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14.25" customHeight="1">
      <c r="A12" s="42"/>
      <c r="B12" s="17"/>
      <c r="C12" s="17"/>
      <c r="D12" s="17"/>
      <c r="E12" s="17"/>
      <c r="F12" s="17"/>
      <c r="G12" s="17"/>
      <c r="H12" s="27"/>
      <c r="I12" s="20" t="s">
        <v>116</v>
      </c>
      <c r="J12" s="20" t="s">
        <v>21</v>
      </c>
      <c r="K12" s="20">
        <v>2.0</v>
      </c>
      <c r="L12" s="42"/>
      <c r="M12" s="17"/>
      <c r="N12" s="17"/>
      <c r="O12" s="17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14.25" customHeight="1">
      <c r="A13" s="42"/>
      <c r="B13" s="17"/>
      <c r="C13" s="17"/>
      <c r="D13" s="17"/>
      <c r="E13" s="17"/>
      <c r="F13" s="17"/>
      <c r="G13" s="17"/>
      <c r="H13" s="27"/>
      <c r="I13" s="20" t="s">
        <v>56</v>
      </c>
      <c r="J13" s="20" t="s">
        <v>21</v>
      </c>
      <c r="K13" s="20">
        <v>1.0</v>
      </c>
      <c r="L13" s="42"/>
      <c r="M13" s="17"/>
      <c r="N13" s="17"/>
      <c r="O13" s="17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4.25" customHeight="1">
      <c r="A14" s="4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46"/>
      <c r="M14" s="27"/>
      <c r="N14" s="27"/>
      <c r="O14" s="27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4.25" customHeight="1">
      <c r="A15" s="46"/>
      <c r="B15" s="27"/>
      <c r="C15" s="27"/>
      <c r="D15" s="27"/>
      <c r="E15" s="47" t="s">
        <v>128</v>
      </c>
      <c r="F15" s="47" t="s">
        <v>129</v>
      </c>
      <c r="G15" s="47" t="s">
        <v>131</v>
      </c>
      <c r="H15" s="27"/>
      <c r="I15" s="27"/>
      <c r="J15" s="27"/>
      <c r="K15" s="27"/>
      <c r="L15" s="46"/>
      <c r="M15" s="27"/>
      <c r="N15" s="27"/>
      <c r="O15" s="27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7.75" customHeight="1">
      <c r="A16" s="46"/>
      <c r="B16" s="27"/>
      <c r="C16" s="50" t="s">
        <v>51</v>
      </c>
      <c r="D16" s="51"/>
      <c r="E16" s="52">
        <f t="shared" ref="E16:G16" si="1">SUM(C2:C13)</f>
        <v>9</v>
      </c>
      <c r="F16" s="52">
        <f t="shared" si="1"/>
        <v>740000</v>
      </c>
      <c r="G16" s="52">
        <f t="shared" si="1"/>
        <v>261</v>
      </c>
      <c r="H16" s="27"/>
      <c r="I16" s="27"/>
      <c r="J16" s="27"/>
      <c r="K16" s="27"/>
      <c r="L16" s="46"/>
      <c r="M16" s="27"/>
      <c r="N16" s="50" t="s">
        <v>51</v>
      </c>
      <c r="O16" s="5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36.0" customHeight="1">
      <c r="A17" s="46"/>
      <c r="B17" s="27"/>
      <c r="C17" s="53" t="s">
        <v>9</v>
      </c>
      <c r="D17" s="54"/>
      <c r="E17" s="55">
        <f t="shared" ref="E17:G17" si="2">SUM(K2:K13)</f>
        <v>20</v>
      </c>
      <c r="F17" s="55">
        <f t="shared" si="2"/>
        <v>0</v>
      </c>
      <c r="G17" s="55">
        <f t="shared" si="2"/>
        <v>0</v>
      </c>
      <c r="H17" s="27"/>
      <c r="I17" s="27"/>
      <c r="J17" s="27"/>
      <c r="K17" s="27"/>
      <c r="L17" s="46"/>
      <c r="M17" s="27"/>
      <c r="N17" s="53" t="s">
        <v>9</v>
      </c>
      <c r="O17" s="5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14.25" customHeight="1">
      <c r="A18" s="46"/>
      <c r="B18" s="27"/>
      <c r="C18" s="57"/>
      <c r="D18" s="57"/>
      <c r="E18" s="57"/>
      <c r="F18" s="57"/>
      <c r="G18" s="57"/>
      <c r="H18" s="27"/>
      <c r="I18" s="27"/>
      <c r="J18" s="27"/>
      <c r="K18" s="27"/>
      <c r="L18" s="46"/>
      <c r="M18" s="27"/>
      <c r="N18" s="57"/>
      <c r="O18" s="57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14.25" customHeight="1">
      <c r="A19" s="4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46"/>
      <c r="M19" s="27"/>
      <c r="N19" s="27"/>
      <c r="O19" s="27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14.25" customHeight="1">
      <c r="A20" s="2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2" t="s">
        <v>6</v>
      </c>
      <c r="G20" s="2" t="s">
        <v>7</v>
      </c>
      <c r="H20" s="4"/>
      <c r="I20" s="6" t="s">
        <v>1</v>
      </c>
      <c r="J20" s="8" t="s">
        <v>2</v>
      </c>
      <c r="K20" s="8" t="s">
        <v>3</v>
      </c>
      <c r="L20" s="2" t="s">
        <v>1</v>
      </c>
      <c r="M20" s="3" t="s">
        <v>2</v>
      </c>
      <c r="N20" s="3" t="s">
        <v>3</v>
      </c>
      <c r="O20" s="3" t="s">
        <v>4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14.25" customHeight="1">
      <c r="A21" s="15" t="s">
        <v>159</v>
      </c>
      <c r="B21" s="15" t="s">
        <v>21</v>
      </c>
      <c r="C21" s="15">
        <v>2.0</v>
      </c>
      <c r="D21" s="15">
        <v>795000.0</v>
      </c>
      <c r="E21" s="15"/>
      <c r="F21" s="15" t="s">
        <v>25</v>
      </c>
      <c r="G21" s="15" t="s">
        <v>160</v>
      </c>
      <c r="H21" s="19"/>
      <c r="I21" s="20" t="s">
        <v>163</v>
      </c>
      <c r="J21" s="20" t="s">
        <v>21</v>
      </c>
      <c r="K21" s="20">
        <v>2.0</v>
      </c>
      <c r="L21" s="15" t="s">
        <v>164</v>
      </c>
      <c r="M21" s="15" t="s">
        <v>21</v>
      </c>
      <c r="N21" s="15">
        <v>1589998.0</v>
      </c>
      <c r="O21" s="15">
        <v>2384996.0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4.25" customHeight="1">
      <c r="A22" s="15" t="s">
        <v>75</v>
      </c>
      <c r="B22" s="15" t="s">
        <v>38</v>
      </c>
      <c r="C22" s="15">
        <v>2.0</v>
      </c>
      <c r="D22" s="15"/>
      <c r="E22" s="15">
        <v>81.0</v>
      </c>
      <c r="F22" s="15" t="s">
        <v>167</v>
      </c>
      <c r="G22" s="15" t="s">
        <v>169</v>
      </c>
      <c r="H22" s="27"/>
      <c r="I22" s="20" t="s">
        <v>171</v>
      </c>
      <c r="J22" s="20" t="s">
        <v>21</v>
      </c>
      <c r="K22" s="20">
        <v>2.0</v>
      </c>
      <c r="L22" s="15" t="s">
        <v>172</v>
      </c>
      <c r="M22" s="15" t="s">
        <v>38</v>
      </c>
      <c r="N22" s="15">
        <v>3.0</v>
      </c>
      <c r="O22" s="15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14.25" customHeight="1">
      <c r="A23" s="15" t="s">
        <v>176</v>
      </c>
      <c r="B23" s="15" t="s">
        <v>21</v>
      </c>
      <c r="C23" s="15">
        <v>1.0</v>
      </c>
      <c r="D23" s="15">
        <v>397000.0</v>
      </c>
      <c r="E23" s="15"/>
      <c r="F23" s="15" t="s">
        <v>25</v>
      </c>
      <c r="G23" s="15" t="s">
        <v>160</v>
      </c>
      <c r="H23" s="27"/>
      <c r="I23" s="20" t="s">
        <v>178</v>
      </c>
      <c r="J23" s="20" t="s">
        <v>179</v>
      </c>
      <c r="K23" s="20">
        <v>7.0</v>
      </c>
      <c r="L23" s="15" t="s">
        <v>180</v>
      </c>
      <c r="M23" s="15" t="s">
        <v>21</v>
      </c>
      <c r="N23" s="15">
        <v>793999.0</v>
      </c>
      <c r="O23" s="15">
        <v>1190998.0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4.25" customHeight="1">
      <c r="A24" s="15" t="s">
        <v>184</v>
      </c>
      <c r="B24" s="15" t="s">
        <v>38</v>
      </c>
      <c r="C24" s="15">
        <v>1.0</v>
      </c>
      <c r="D24" s="15"/>
      <c r="E24" s="15">
        <v>48.0</v>
      </c>
      <c r="F24" s="15" t="s">
        <v>39</v>
      </c>
      <c r="G24" s="15" t="s">
        <v>169</v>
      </c>
      <c r="H24" s="27"/>
      <c r="I24" s="20" t="s">
        <v>189</v>
      </c>
      <c r="J24" s="20" t="s">
        <v>21</v>
      </c>
      <c r="K24" s="20">
        <v>4.0</v>
      </c>
      <c r="L24" s="15" t="s">
        <v>190</v>
      </c>
      <c r="M24" s="15" t="s">
        <v>38</v>
      </c>
      <c r="N24" s="15">
        <v>2.0</v>
      </c>
      <c r="O24" s="15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4.25" customHeight="1">
      <c r="A25" s="15" t="s">
        <v>194</v>
      </c>
      <c r="B25" s="15" t="s">
        <v>38</v>
      </c>
      <c r="C25" s="15">
        <v>1.0</v>
      </c>
      <c r="D25" s="15"/>
      <c r="E25" s="15">
        <v>48.0</v>
      </c>
      <c r="F25" s="15" t="s">
        <v>39</v>
      </c>
      <c r="G25" s="15" t="s">
        <v>169</v>
      </c>
      <c r="H25" s="27"/>
      <c r="I25" s="20" t="s">
        <v>198</v>
      </c>
      <c r="J25" s="20" t="s">
        <v>21</v>
      </c>
      <c r="K25" s="20">
        <v>1.0</v>
      </c>
      <c r="L25" s="15" t="s">
        <v>199</v>
      </c>
      <c r="M25" s="15" t="s">
        <v>38</v>
      </c>
      <c r="N25" s="15">
        <v>2.0</v>
      </c>
      <c r="O25" s="15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4.25" customHeight="1">
      <c r="A26" s="15" t="s">
        <v>203</v>
      </c>
      <c r="B26" s="15" t="s">
        <v>21</v>
      </c>
      <c r="C26" s="15">
        <v>1.0</v>
      </c>
      <c r="D26" s="15">
        <v>397000.0</v>
      </c>
      <c r="E26" s="17"/>
      <c r="F26" s="15" t="s">
        <v>34</v>
      </c>
      <c r="G26" s="15" t="s">
        <v>160</v>
      </c>
      <c r="H26" s="27"/>
      <c r="I26" s="20" t="s">
        <v>206</v>
      </c>
      <c r="J26" s="20" t="s">
        <v>21</v>
      </c>
      <c r="K26" s="20">
        <v>2.0</v>
      </c>
      <c r="L26" s="15" t="s">
        <v>207</v>
      </c>
      <c r="M26" s="15" t="s">
        <v>21</v>
      </c>
      <c r="N26" s="15">
        <v>793999.0</v>
      </c>
      <c r="O26" s="15">
        <v>1190998.0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14.25" customHeight="1">
      <c r="A27" s="15" t="s">
        <v>211</v>
      </c>
      <c r="B27" s="15" t="s">
        <v>21</v>
      </c>
      <c r="C27" s="15">
        <v>3.0</v>
      </c>
      <c r="D27" s="17"/>
      <c r="E27" s="15">
        <v>100.0</v>
      </c>
      <c r="F27" s="15" t="s">
        <v>34</v>
      </c>
      <c r="G27" s="15" t="s">
        <v>160</v>
      </c>
      <c r="H27" s="27"/>
      <c r="I27" s="20" t="s">
        <v>214</v>
      </c>
      <c r="J27" s="20" t="s">
        <v>21</v>
      </c>
      <c r="K27" s="20">
        <v>2.0</v>
      </c>
      <c r="L27" s="15" t="s">
        <v>217</v>
      </c>
      <c r="M27" s="15" t="s">
        <v>21</v>
      </c>
      <c r="N27" s="15">
        <v>4.0</v>
      </c>
      <c r="O27" s="17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14.25" customHeight="1">
      <c r="A28" s="15" t="s">
        <v>220</v>
      </c>
      <c r="B28" s="15" t="s">
        <v>38</v>
      </c>
      <c r="C28" s="15">
        <v>2.0</v>
      </c>
      <c r="D28" s="17"/>
      <c r="E28" s="15">
        <v>75.0</v>
      </c>
      <c r="F28" s="15" t="s">
        <v>39</v>
      </c>
      <c r="G28" s="15" t="s">
        <v>169</v>
      </c>
      <c r="H28" s="27"/>
      <c r="I28" s="20"/>
      <c r="J28" s="20"/>
      <c r="K28" s="20"/>
      <c r="L28" s="15" t="s">
        <v>223</v>
      </c>
      <c r="M28" s="15" t="s">
        <v>38</v>
      </c>
      <c r="N28" s="15">
        <v>3.0</v>
      </c>
      <c r="O28" s="17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4.25" customHeight="1">
      <c r="A29" s="15" t="s">
        <v>224</v>
      </c>
      <c r="B29" s="15" t="s">
        <v>21</v>
      </c>
      <c r="C29" s="15">
        <v>1.0</v>
      </c>
      <c r="D29" s="15">
        <v>397000.0</v>
      </c>
      <c r="E29" s="17"/>
      <c r="F29" s="15" t="s">
        <v>25</v>
      </c>
      <c r="G29" s="15" t="s">
        <v>160</v>
      </c>
      <c r="H29" s="27"/>
      <c r="I29" s="20"/>
      <c r="J29" s="20"/>
      <c r="K29" s="20"/>
      <c r="L29" s="15" t="s">
        <v>225</v>
      </c>
      <c r="M29" s="15" t="s">
        <v>21</v>
      </c>
      <c r="N29" s="15">
        <v>793999.0</v>
      </c>
      <c r="O29" s="15">
        <v>1190998.0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4.25" customHeight="1">
      <c r="A30" s="15" t="s">
        <v>226</v>
      </c>
      <c r="B30" s="15" t="s">
        <v>21</v>
      </c>
      <c r="C30" s="15">
        <v>1.0</v>
      </c>
      <c r="D30" s="15">
        <v>397000.0</v>
      </c>
      <c r="E30" s="17"/>
      <c r="F30" s="15" t="s">
        <v>25</v>
      </c>
      <c r="G30" s="15" t="s">
        <v>160</v>
      </c>
      <c r="H30" s="27"/>
      <c r="I30" s="20"/>
      <c r="J30" s="20"/>
      <c r="K30" s="20"/>
      <c r="L30" s="15" t="s">
        <v>229</v>
      </c>
      <c r="M30" s="15" t="s">
        <v>21</v>
      </c>
      <c r="N30" s="15">
        <v>793999.0</v>
      </c>
      <c r="O30" s="15">
        <v>1190998.0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4.25" customHeight="1">
      <c r="A31" s="15" t="s">
        <v>232</v>
      </c>
      <c r="B31" s="15" t="s">
        <v>21</v>
      </c>
      <c r="C31" s="15">
        <v>1.0</v>
      </c>
      <c r="D31" s="15">
        <v>331000.0</v>
      </c>
      <c r="E31" s="17"/>
      <c r="F31" s="15" t="s">
        <v>34</v>
      </c>
      <c r="G31" s="15" t="s">
        <v>160</v>
      </c>
      <c r="H31" s="27"/>
      <c r="I31" s="20"/>
      <c r="J31" s="20"/>
      <c r="K31" s="20"/>
      <c r="L31" s="15" t="s">
        <v>234</v>
      </c>
      <c r="M31" s="15" t="s">
        <v>21</v>
      </c>
      <c r="N31" s="15">
        <v>661999.0</v>
      </c>
      <c r="O31" s="15">
        <v>992998.0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4.25" customHeight="1">
      <c r="A32" s="15" t="s">
        <v>236</v>
      </c>
      <c r="B32" s="15" t="s">
        <v>21</v>
      </c>
      <c r="C32" s="15">
        <v>1.0</v>
      </c>
      <c r="D32" s="15">
        <v>331000.0</v>
      </c>
      <c r="E32" s="17"/>
      <c r="F32" s="15" t="s">
        <v>25</v>
      </c>
      <c r="G32" s="15" t="s">
        <v>160</v>
      </c>
      <c r="H32" s="27"/>
      <c r="I32" s="20"/>
      <c r="J32" s="20"/>
      <c r="K32" s="20"/>
      <c r="L32" s="15" t="s">
        <v>240</v>
      </c>
      <c r="M32" s="15" t="s">
        <v>21</v>
      </c>
      <c r="N32" s="15">
        <v>661999.0</v>
      </c>
      <c r="O32" s="15">
        <v>992998.0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4.25" customHeight="1">
      <c r="A33" s="15" t="s">
        <v>29</v>
      </c>
      <c r="B33" s="15" t="s">
        <v>21</v>
      </c>
      <c r="C33" s="15">
        <v>1.0</v>
      </c>
      <c r="D33" s="15">
        <v>414000.0</v>
      </c>
      <c r="E33" s="17"/>
      <c r="F33" s="15" t="s">
        <v>25</v>
      </c>
      <c r="G33" s="15" t="s">
        <v>160</v>
      </c>
      <c r="H33" s="27"/>
      <c r="I33" s="64"/>
      <c r="J33" s="41"/>
      <c r="K33" s="41"/>
      <c r="L33" s="15" t="s">
        <v>246</v>
      </c>
      <c r="M33" s="15" t="s">
        <v>21</v>
      </c>
      <c r="N33" s="15">
        <v>827999.0</v>
      </c>
      <c r="O33" s="15">
        <v>1241998.0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4.25" customHeight="1">
      <c r="A34" s="15" t="s">
        <v>247</v>
      </c>
      <c r="B34" s="15" t="s">
        <v>21</v>
      </c>
      <c r="C34" s="15">
        <v>1.0</v>
      </c>
      <c r="D34" s="15">
        <v>447000.0</v>
      </c>
      <c r="E34" s="17"/>
      <c r="F34" s="15" t="s">
        <v>25</v>
      </c>
      <c r="G34" s="15" t="s">
        <v>160</v>
      </c>
      <c r="H34" s="27"/>
      <c r="I34" s="64"/>
      <c r="J34" s="41"/>
      <c r="K34" s="41"/>
      <c r="L34" s="15" t="s">
        <v>249</v>
      </c>
      <c r="M34" s="15" t="s">
        <v>21</v>
      </c>
      <c r="N34" s="15">
        <v>893999.0</v>
      </c>
      <c r="O34" s="15">
        <v>1340998.0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4.25" customHeight="1">
      <c r="A35" s="15" t="s">
        <v>250</v>
      </c>
      <c r="B35" s="15" t="s">
        <v>21</v>
      </c>
      <c r="C35" s="15">
        <v>1.0</v>
      </c>
      <c r="D35" s="15">
        <v>331000.0</v>
      </c>
      <c r="E35" s="17"/>
      <c r="F35" s="15" t="s">
        <v>34</v>
      </c>
      <c r="G35" s="15" t="s">
        <v>160</v>
      </c>
      <c r="H35" s="27"/>
      <c r="I35" s="64"/>
      <c r="J35" s="41"/>
      <c r="K35" s="41"/>
      <c r="L35" s="15" t="s">
        <v>253</v>
      </c>
      <c r="M35" s="15" t="s">
        <v>21</v>
      </c>
      <c r="N35" s="15">
        <v>661999.0</v>
      </c>
      <c r="O35" s="15">
        <v>992998.0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4.25" customHeight="1">
      <c r="A36" s="15" t="s">
        <v>254</v>
      </c>
      <c r="B36" s="15" t="s">
        <v>21</v>
      </c>
      <c r="C36" s="15">
        <v>1.0</v>
      </c>
      <c r="D36" s="15">
        <v>352000.0</v>
      </c>
      <c r="E36" s="17"/>
      <c r="F36" s="15" t="s">
        <v>34</v>
      </c>
      <c r="G36" s="15" t="s">
        <v>160</v>
      </c>
      <c r="H36" s="66"/>
      <c r="I36" s="64"/>
      <c r="J36" s="41"/>
      <c r="K36" s="41"/>
      <c r="L36" s="15" t="s">
        <v>259</v>
      </c>
      <c r="M36" s="15" t="s">
        <v>21</v>
      </c>
      <c r="N36" s="15">
        <v>703999.0</v>
      </c>
      <c r="O36" s="15">
        <v>1055998.0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4.25" customHeight="1">
      <c r="A37" s="15" t="s">
        <v>260</v>
      </c>
      <c r="B37" s="15" t="s">
        <v>21</v>
      </c>
      <c r="C37" s="15">
        <v>1.0</v>
      </c>
      <c r="D37" s="15">
        <v>331000.0</v>
      </c>
      <c r="E37" s="17"/>
      <c r="F37" s="15" t="s">
        <v>25</v>
      </c>
      <c r="G37" s="15" t="s">
        <v>160</v>
      </c>
      <c r="H37" s="68"/>
      <c r="I37" s="64"/>
      <c r="J37" s="41"/>
      <c r="K37" s="41"/>
      <c r="L37" s="15" t="s">
        <v>262</v>
      </c>
      <c r="M37" s="15" t="s">
        <v>21</v>
      </c>
      <c r="N37" s="15">
        <v>661999.0</v>
      </c>
      <c r="O37" s="15">
        <v>992998.0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4.25" customHeight="1">
      <c r="A38" s="15" t="s">
        <v>264</v>
      </c>
      <c r="B38" s="15" t="s">
        <v>21</v>
      </c>
      <c r="C38" s="15">
        <v>2.0</v>
      </c>
      <c r="D38" s="15">
        <v>794000.0</v>
      </c>
      <c r="E38" s="17"/>
      <c r="F38" s="15" t="s">
        <v>34</v>
      </c>
      <c r="G38" s="15" t="s">
        <v>160</v>
      </c>
      <c r="H38" s="27"/>
      <c r="I38" s="64"/>
      <c r="J38" s="41"/>
      <c r="K38" s="41"/>
      <c r="L38" s="15" t="s">
        <v>267</v>
      </c>
      <c r="M38" s="15" t="s">
        <v>21</v>
      </c>
      <c r="N38" s="15">
        <v>1587998.0</v>
      </c>
      <c r="O38" s="15">
        <v>2381996.0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4.25" customHeight="1">
      <c r="A39" s="15" t="s">
        <v>268</v>
      </c>
      <c r="B39" s="15" t="s">
        <v>21</v>
      </c>
      <c r="C39" s="15">
        <v>2.0</v>
      </c>
      <c r="D39" s="15">
        <v>860000.0</v>
      </c>
      <c r="E39" s="17"/>
      <c r="F39" s="15" t="s">
        <v>34</v>
      </c>
      <c r="G39" s="15" t="s">
        <v>160</v>
      </c>
      <c r="H39" s="27"/>
      <c r="I39" s="64"/>
      <c r="J39" s="41"/>
      <c r="K39" s="41"/>
      <c r="L39" s="15" t="s">
        <v>269</v>
      </c>
      <c r="M39" s="15" t="s">
        <v>21</v>
      </c>
      <c r="N39" s="15">
        <v>1719998.0</v>
      </c>
      <c r="O39" s="15">
        <v>2579996.0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14.25" customHeight="1">
      <c r="A40" s="15" t="s">
        <v>62</v>
      </c>
      <c r="B40" s="15" t="s">
        <v>21</v>
      </c>
      <c r="C40" s="15">
        <v>1.0</v>
      </c>
      <c r="D40" s="15">
        <v>579000.0</v>
      </c>
      <c r="E40" s="17"/>
      <c r="F40" s="15" t="s">
        <v>25</v>
      </c>
      <c r="G40" s="15" t="s">
        <v>160</v>
      </c>
      <c r="H40" s="27"/>
      <c r="I40" s="64"/>
      <c r="J40" s="41"/>
      <c r="K40" s="41"/>
      <c r="L40" s="15" t="s">
        <v>273</v>
      </c>
      <c r="M40" s="15" t="s">
        <v>21</v>
      </c>
      <c r="N40" s="15">
        <v>1157999.0</v>
      </c>
      <c r="O40" s="15">
        <v>1736998.0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4.25" customHeight="1">
      <c r="A41" s="15" t="s">
        <v>214</v>
      </c>
      <c r="B41" s="15" t="s">
        <v>21</v>
      </c>
      <c r="C41" s="15">
        <v>1.0</v>
      </c>
      <c r="D41" s="15">
        <v>447000.0</v>
      </c>
      <c r="E41" s="17"/>
      <c r="F41" s="15" t="s">
        <v>25</v>
      </c>
      <c r="G41" s="15" t="s">
        <v>160</v>
      </c>
      <c r="H41" s="27"/>
      <c r="I41" s="69"/>
      <c r="J41" s="41"/>
      <c r="K41" s="41"/>
      <c r="L41" s="15" t="s">
        <v>279</v>
      </c>
      <c r="M41" s="15" t="s">
        <v>21</v>
      </c>
      <c r="N41" s="15">
        <v>893999.0</v>
      </c>
      <c r="O41" s="15">
        <v>1340998.0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4.25" customHeight="1">
      <c r="A42" s="4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46"/>
      <c r="M42" s="27"/>
      <c r="N42" s="27"/>
      <c r="O42" s="27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4.25" customHeight="1">
      <c r="A43" s="46"/>
      <c r="B43" s="27"/>
      <c r="C43" s="27"/>
      <c r="D43" s="27"/>
      <c r="E43" s="47" t="s">
        <v>128</v>
      </c>
      <c r="F43" s="47" t="s">
        <v>129</v>
      </c>
      <c r="G43" s="47" t="s">
        <v>131</v>
      </c>
      <c r="H43" s="27"/>
      <c r="I43" s="27"/>
      <c r="J43" s="27"/>
      <c r="K43" s="27"/>
      <c r="L43" s="46"/>
      <c r="M43" s="27"/>
      <c r="N43" s="27"/>
      <c r="O43" s="27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4.25" customHeight="1">
      <c r="A44" s="46"/>
      <c r="B44" s="27"/>
      <c r="C44" s="50" t="s">
        <v>51</v>
      </c>
      <c r="D44" s="51"/>
      <c r="E44" s="52">
        <f t="shared" ref="E44:G44" si="3">SUM(C21:C41)</f>
        <v>28</v>
      </c>
      <c r="F44" s="52">
        <f t="shared" si="3"/>
        <v>7600000</v>
      </c>
      <c r="G44" s="52">
        <f t="shared" si="3"/>
        <v>352</v>
      </c>
      <c r="H44" s="27"/>
      <c r="I44" s="27"/>
      <c r="J44" s="27"/>
      <c r="K44" s="27"/>
      <c r="L44" s="46"/>
      <c r="M44" s="27"/>
      <c r="N44" s="50" t="s">
        <v>51</v>
      </c>
      <c r="O44" s="51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4.25" customHeight="1">
      <c r="A45" s="46"/>
      <c r="B45" s="27"/>
      <c r="C45" s="53" t="s">
        <v>9</v>
      </c>
      <c r="D45" s="54"/>
      <c r="E45" s="55">
        <f t="shared" ref="E45:G45" si="4">SUM(K21:K41)</f>
        <v>20</v>
      </c>
      <c r="F45" s="55">
        <f t="shared" si="4"/>
        <v>0</v>
      </c>
      <c r="G45" s="55">
        <f t="shared" si="4"/>
        <v>0</v>
      </c>
      <c r="H45" s="27"/>
      <c r="I45" s="27"/>
      <c r="J45" s="27"/>
      <c r="K45" s="27"/>
      <c r="L45" s="46"/>
      <c r="M45" s="27"/>
      <c r="N45" s="53" t="s">
        <v>9</v>
      </c>
      <c r="O45" s="54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4.25" customHeight="1">
      <c r="A46" s="46"/>
      <c r="B46" s="27"/>
      <c r="C46" s="57"/>
      <c r="D46" s="57"/>
      <c r="E46" s="57"/>
      <c r="F46" s="57"/>
      <c r="G46" s="57"/>
      <c r="H46" s="27"/>
      <c r="I46" s="27"/>
      <c r="J46" s="27"/>
      <c r="K46" s="27"/>
      <c r="L46" s="46"/>
      <c r="M46" s="27"/>
      <c r="N46" s="57"/>
      <c r="O46" s="57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4.25" customHeight="1">
      <c r="A47" s="2" t="s">
        <v>1</v>
      </c>
      <c r="B47" s="3" t="s">
        <v>2</v>
      </c>
      <c r="C47" s="3" t="s">
        <v>3</v>
      </c>
      <c r="D47" s="3" t="s">
        <v>4</v>
      </c>
      <c r="E47" s="3" t="s">
        <v>5</v>
      </c>
      <c r="F47" s="2" t="s">
        <v>6</v>
      </c>
      <c r="G47" s="2" t="s">
        <v>7</v>
      </c>
      <c r="H47" s="4"/>
      <c r="I47" s="6" t="s">
        <v>1</v>
      </c>
      <c r="J47" s="8" t="s">
        <v>2</v>
      </c>
      <c r="K47" s="8" t="s">
        <v>3</v>
      </c>
      <c r="L47" s="2" t="s">
        <v>1</v>
      </c>
      <c r="M47" s="3" t="s">
        <v>2</v>
      </c>
      <c r="N47" s="3" t="s">
        <v>3</v>
      </c>
      <c r="O47" s="3" t="s">
        <v>4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4.25" customHeight="1">
      <c r="A48" s="15" t="s">
        <v>299</v>
      </c>
      <c r="B48" s="15" t="s">
        <v>21</v>
      </c>
      <c r="C48" s="15">
        <v>1.0</v>
      </c>
      <c r="D48" s="15">
        <v>462000.0</v>
      </c>
      <c r="E48" s="15"/>
      <c r="F48" s="15" t="s">
        <v>25</v>
      </c>
      <c r="G48" s="15" t="s">
        <v>302</v>
      </c>
      <c r="H48" s="19"/>
      <c r="I48" s="20" t="s">
        <v>303</v>
      </c>
      <c r="J48" s="20" t="s">
        <v>21</v>
      </c>
      <c r="K48" s="20">
        <v>3.0</v>
      </c>
      <c r="L48" s="15" t="s">
        <v>305</v>
      </c>
      <c r="M48" s="15" t="s">
        <v>21</v>
      </c>
      <c r="N48" s="15">
        <v>923999.0</v>
      </c>
      <c r="O48" s="15">
        <v>1385998.0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4.25" customHeight="1">
      <c r="A49" s="15" t="s">
        <v>180</v>
      </c>
      <c r="B49" s="15" t="s">
        <v>21</v>
      </c>
      <c r="C49" s="15">
        <v>1.0</v>
      </c>
      <c r="D49" s="15">
        <v>520000.0</v>
      </c>
      <c r="E49" s="15"/>
      <c r="F49" s="15" t="s">
        <v>25</v>
      </c>
      <c r="G49" s="15" t="s">
        <v>302</v>
      </c>
      <c r="H49" s="27"/>
      <c r="I49" s="20" t="s">
        <v>299</v>
      </c>
      <c r="J49" s="20" t="s">
        <v>307</v>
      </c>
      <c r="K49" s="20">
        <v>1.0</v>
      </c>
      <c r="L49" s="15" t="s">
        <v>308</v>
      </c>
      <c r="M49" s="15" t="s">
        <v>21</v>
      </c>
      <c r="N49" s="15">
        <v>1039999.0</v>
      </c>
      <c r="O49" s="15">
        <v>1559998.0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4.25" customHeight="1">
      <c r="A50" s="15" t="s">
        <v>190</v>
      </c>
      <c r="B50" s="15" t="s">
        <v>21</v>
      </c>
      <c r="C50" s="15">
        <v>1.0</v>
      </c>
      <c r="D50" s="15">
        <v>396000.0</v>
      </c>
      <c r="E50" s="15"/>
      <c r="F50" s="15" t="s">
        <v>34</v>
      </c>
      <c r="G50" s="15" t="s">
        <v>302</v>
      </c>
      <c r="H50" s="27"/>
      <c r="I50" s="20" t="s">
        <v>311</v>
      </c>
      <c r="J50" s="20" t="s">
        <v>21</v>
      </c>
      <c r="K50" s="20">
        <v>2.0</v>
      </c>
      <c r="L50" s="15" t="s">
        <v>312</v>
      </c>
      <c r="M50" s="15" t="s">
        <v>21</v>
      </c>
      <c r="N50" s="15">
        <v>791999.0</v>
      </c>
      <c r="O50" s="15">
        <v>1187998.0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14.25" customHeight="1">
      <c r="A51" s="15"/>
      <c r="B51" s="15"/>
      <c r="C51" s="15"/>
      <c r="D51" s="15"/>
      <c r="E51" s="15"/>
      <c r="F51" s="15"/>
      <c r="G51" s="15"/>
      <c r="H51" s="27"/>
      <c r="I51" s="20" t="s">
        <v>315</v>
      </c>
      <c r="J51" s="20" t="s">
        <v>307</v>
      </c>
      <c r="K51" s="20">
        <v>14.0</v>
      </c>
      <c r="L51" s="15"/>
      <c r="M51" s="15"/>
      <c r="N51" s="15"/>
      <c r="O51" s="1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4.25" customHeight="1">
      <c r="A52" s="15" t="s">
        <v>319</v>
      </c>
      <c r="B52" s="15" t="s">
        <v>21</v>
      </c>
      <c r="C52" s="15">
        <v>1.0</v>
      </c>
      <c r="D52" s="15">
        <v>396000.0</v>
      </c>
      <c r="E52" s="15"/>
      <c r="F52" s="15" t="s">
        <v>25</v>
      </c>
      <c r="G52" s="15" t="s">
        <v>302</v>
      </c>
      <c r="H52" s="27"/>
      <c r="I52" s="20" t="s">
        <v>320</v>
      </c>
      <c r="J52" s="20" t="s">
        <v>21</v>
      </c>
      <c r="K52" s="20">
        <v>3.0</v>
      </c>
      <c r="L52" s="15" t="s">
        <v>321</v>
      </c>
      <c r="M52" s="15" t="s">
        <v>21</v>
      </c>
      <c r="N52" s="15">
        <v>791999.0</v>
      </c>
      <c r="O52" s="15">
        <v>1187998.0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4.25" customHeight="1">
      <c r="A53" s="15" t="s">
        <v>322</v>
      </c>
      <c r="B53" s="15" t="s">
        <v>21</v>
      </c>
      <c r="C53" s="15">
        <v>1.0</v>
      </c>
      <c r="D53" s="15">
        <v>446000.0</v>
      </c>
      <c r="E53" s="15"/>
      <c r="F53" s="15" t="s">
        <v>34</v>
      </c>
      <c r="G53" s="15" t="s">
        <v>302</v>
      </c>
      <c r="H53" s="27"/>
      <c r="I53" s="20"/>
      <c r="J53" s="20"/>
      <c r="K53" s="20"/>
      <c r="L53" s="15" t="s">
        <v>325</v>
      </c>
      <c r="M53" s="15" t="s">
        <v>21</v>
      </c>
      <c r="N53" s="15">
        <v>891999.0</v>
      </c>
      <c r="O53" s="15">
        <v>1337998.0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4.25" customHeight="1">
      <c r="A54" s="15" t="s">
        <v>327</v>
      </c>
      <c r="B54" s="15" t="s">
        <v>21</v>
      </c>
      <c r="C54" s="15">
        <v>1.0</v>
      </c>
      <c r="D54" s="15">
        <v>495000.0</v>
      </c>
      <c r="E54" s="17"/>
      <c r="F54" s="15" t="s">
        <v>25</v>
      </c>
      <c r="G54" s="15" t="s">
        <v>302</v>
      </c>
      <c r="H54" s="27"/>
      <c r="I54" s="20"/>
      <c r="J54" s="20"/>
      <c r="K54" s="20"/>
      <c r="L54" s="15" t="s">
        <v>328</v>
      </c>
      <c r="M54" s="15" t="s">
        <v>21</v>
      </c>
      <c r="N54" s="15">
        <v>989999.0</v>
      </c>
      <c r="O54" s="15">
        <v>1484998.0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4.25" customHeight="1">
      <c r="A55" s="15" t="s">
        <v>330</v>
      </c>
      <c r="B55" s="15" t="s">
        <v>21</v>
      </c>
      <c r="C55" s="15">
        <v>1.0</v>
      </c>
      <c r="D55" s="15">
        <v>462000.0</v>
      </c>
      <c r="E55" s="15"/>
      <c r="F55" s="15" t="s">
        <v>34</v>
      </c>
      <c r="G55" s="15" t="s">
        <v>302</v>
      </c>
      <c r="H55" s="27"/>
      <c r="I55" s="20"/>
      <c r="J55" s="20"/>
      <c r="K55" s="20"/>
      <c r="L55" s="15" t="s">
        <v>332</v>
      </c>
      <c r="M55" s="15" t="s">
        <v>21</v>
      </c>
      <c r="N55" s="15">
        <v>923999.0</v>
      </c>
      <c r="O55" s="15">
        <v>1385998.0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4.25" customHeight="1">
      <c r="A56" s="15" t="s">
        <v>333</v>
      </c>
      <c r="B56" s="15" t="s">
        <v>38</v>
      </c>
      <c r="C56" s="15">
        <v>3.0</v>
      </c>
      <c r="D56" s="15"/>
      <c r="E56" s="15">
        <v>140.0</v>
      </c>
      <c r="F56" s="15" t="s">
        <v>25</v>
      </c>
      <c r="G56" s="15" t="s">
        <v>335</v>
      </c>
      <c r="H56" s="27"/>
      <c r="I56" s="20"/>
      <c r="J56" s="20"/>
      <c r="K56" s="20"/>
      <c r="L56" s="15" t="s">
        <v>337</v>
      </c>
      <c r="M56" s="15" t="s">
        <v>38</v>
      </c>
      <c r="N56" s="15">
        <v>4.0</v>
      </c>
      <c r="O56" s="15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4.25" customHeight="1">
      <c r="A57" s="15" t="s">
        <v>340</v>
      </c>
      <c r="B57" s="15" t="s">
        <v>21</v>
      </c>
      <c r="C57" s="15">
        <v>3.0</v>
      </c>
      <c r="D57" s="15">
        <v>188000.0</v>
      </c>
      <c r="E57" s="15">
        <v>100.0</v>
      </c>
      <c r="F57" s="15" t="s">
        <v>34</v>
      </c>
      <c r="G57" s="15" t="s">
        <v>302</v>
      </c>
      <c r="H57" s="27"/>
      <c r="I57" s="20"/>
      <c r="J57" s="20"/>
      <c r="K57" s="20"/>
      <c r="L57" s="15" t="s">
        <v>343</v>
      </c>
      <c r="M57" s="15" t="s">
        <v>21</v>
      </c>
      <c r="N57" s="15">
        <v>62798.0</v>
      </c>
      <c r="O57" s="15">
        <v>62846.5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4.25" customHeight="1">
      <c r="A58" s="15" t="s">
        <v>344</v>
      </c>
      <c r="B58" s="15" t="s">
        <v>21</v>
      </c>
      <c r="C58" s="15">
        <v>2.0</v>
      </c>
      <c r="D58" s="15"/>
      <c r="E58" s="15">
        <v>77.0</v>
      </c>
      <c r="F58" s="15" t="s">
        <v>25</v>
      </c>
      <c r="G58" s="15" t="s">
        <v>302</v>
      </c>
      <c r="H58" s="27"/>
      <c r="I58" s="20"/>
      <c r="J58" s="20"/>
      <c r="K58" s="20"/>
      <c r="L58" s="15" t="s">
        <v>345</v>
      </c>
      <c r="M58" s="15" t="s">
        <v>21</v>
      </c>
      <c r="N58" s="15">
        <v>3.0</v>
      </c>
      <c r="O58" s="15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4.25" customHeight="1">
      <c r="A59" s="15" t="s">
        <v>346</v>
      </c>
      <c r="B59" s="15" t="s">
        <v>307</v>
      </c>
      <c r="C59" s="15">
        <v>2.0</v>
      </c>
      <c r="D59" s="15"/>
      <c r="E59" s="15">
        <v>80.0</v>
      </c>
      <c r="F59" s="15" t="s">
        <v>34</v>
      </c>
      <c r="G59" s="15" t="s">
        <v>347</v>
      </c>
      <c r="H59" s="27"/>
      <c r="I59" s="20"/>
      <c r="J59" s="20"/>
      <c r="K59" s="20"/>
      <c r="L59" s="15" t="s">
        <v>348</v>
      </c>
      <c r="M59" s="15" t="s">
        <v>307</v>
      </c>
      <c r="N59" s="15">
        <v>3.0</v>
      </c>
      <c r="O59" s="15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4.25" customHeight="1">
      <c r="A60" s="15" t="s">
        <v>349</v>
      </c>
      <c r="B60" s="15" t="s">
        <v>307</v>
      </c>
      <c r="C60" s="15">
        <v>3.0</v>
      </c>
      <c r="D60" s="15"/>
      <c r="E60" s="15">
        <v>120.0</v>
      </c>
      <c r="F60" s="15" t="s">
        <v>34</v>
      </c>
      <c r="G60" s="15" t="s">
        <v>347</v>
      </c>
      <c r="H60" s="27"/>
      <c r="I60" s="20"/>
      <c r="J60" s="20"/>
      <c r="K60" s="20"/>
      <c r="L60" s="15" t="s">
        <v>350</v>
      </c>
      <c r="M60" s="15" t="s">
        <v>307</v>
      </c>
      <c r="N60" s="15">
        <v>4.0</v>
      </c>
      <c r="O60" s="15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4.25" customHeight="1">
      <c r="A61" s="15"/>
      <c r="B61" s="15"/>
      <c r="C61" s="15"/>
      <c r="D61" s="15"/>
      <c r="E61" s="17"/>
      <c r="F61" s="15"/>
      <c r="G61" s="15"/>
      <c r="H61" s="27"/>
      <c r="I61" s="20"/>
      <c r="J61" s="20"/>
      <c r="K61" s="20"/>
      <c r="L61" s="15"/>
      <c r="M61" s="15"/>
      <c r="N61" s="15"/>
      <c r="O61" s="15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4.25" customHeight="1">
      <c r="A62" s="15"/>
      <c r="B62" s="15"/>
      <c r="C62" s="15"/>
      <c r="D62" s="15"/>
      <c r="E62" s="17"/>
      <c r="F62" s="15"/>
      <c r="G62" s="15"/>
      <c r="H62" s="27"/>
      <c r="I62" s="64"/>
      <c r="J62" s="41"/>
      <c r="K62" s="41"/>
      <c r="L62" s="15"/>
      <c r="M62" s="15"/>
      <c r="N62" s="15"/>
      <c r="O62" s="15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4.25" customHeight="1">
      <c r="A63" s="15"/>
      <c r="B63" s="15"/>
      <c r="C63" s="15"/>
      <c r="D63" s="15"/>
      <c r="E63" s="17"/>
      <c r="F63" s="15"/>
      <c r="G63" s="15"/>
      <c r="H63" s="27"/>
      <c r="I63" s="64"/>
      <c r="J63" s="41"/>
      <c r="K63" s="41"/>
      <c r="L63" s="15"/>
      <c r="M63" s="15"/>
      <c r="N63" s="15"/>
      <c r="O63" s="15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4.25" customHeight="1">
      <c r="A64" s="15"/>
      <c r="B64" s="15"/>
      <c r="C64" s="15"/>
      <c r="D64" s="15"/>
      <c r="E64" s="17"/>
      <c r="F64" s="15"/>
      <c r="G64" s="15"/>
      <c r="H64" s="27"/>
      <c r="I64" s="64"/>
      <c r="J64" s="41"/>
      <c r="K64" s="41"/>
      <c r="L64" s="15"/>
      <c r="M64" s="15"/>
      <c r="N64" s="15"/>
      <c r="O64" s="15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4.25" customHeight="1">
      <c r="A65" s="15"/>
      <c r="B65" s="15"/>
      <c r="C65" s="15"/>
      <c r="D65" s="15"/>
      <c r="E65" s="17"/>
      <c r="F65" s="15"/>
      <c r="G65" s="15"/>
      <c r="H65" s="66"/>
      <c r="I65" s="64"/>
      <c r="J65" s="41"/>
      <c r="K65" s="41"/>
      <c r="L65" s="15"/>
      <c r="M65" s="15"/>
      <c r="N65" s="15"/>
      <c r="O65" s="15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4.25" customHeight="1">
      <c r="A66" s="15"/>
      <c r="B66" s="15"/>
      <c r="C66" s="15"/>
      <c r="D66" s="15"/>
      <c r="E66" s="17"/>
      <c r="F66" s="15"/>
      <c r="G66" s="15"/>
      <c r="H66" s="68"/>
      <c r="I66" s="64"/>
      <c r="J66" s="41"/>
      <c r="K66" s="41"/>
      <c r="L66" s="15"/>
      <c r="M66" s="15"/>
      <c r="N66" s="15"/>
      <c r="O66" s="15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4.25" customHeight="1">
      <c r="A67" s="15"/>
      <c r="B67" s="15"/>
      <c r="C67" s="15"/>
      <c r="D67" s="15"/>
      <c r="E67" s="17"/>
      <c r="F67" s="15"/>
      <c r="G67" s="15"/>
      <c r="H67" s="27"/>
      <c r="I67" s="64"/>
      <c r="J67" s="41"/>
      <c r="K67" s="41"/>
      <c r="L67" s="15"/>
      <c r="M67" s="15"/>
      <c r="N67" s="15"/>
      <c r="O67" s="15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4.25" customHeight="1">
      <c r="A68" s="15"/>
      <c r="B68" s="15"/>
      <c r="C68" s="15"/>
      <c r="D68" s="15"/>
      <c r="E68" s="17"/>
      <c r="F68" s="15"/>
      <c r="G68" s="15"/>
      <c r="H68" s="27"/>
      <c r="I68" s="64"/>
      <c r="J68" s="41"/>
      <c r="K68" s="41"/>
      <c r="L68" s="15"/>
      <c r="M68" s="15"/>
      <c r="N68" s="15"/>
      <c r="O68" s="15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4.25" customHeight="1">
      <c r="A69" s="15"/>
      <c r="B69" s="15"/>
      <c r="C69" s="15"/>
      <c r="D69" s="15"/>
      <c r="E69" s="17"/>
      <c r="F69" s="15"/>
      <c r="G69" s="15"/>
      <c r="H69" s="27"/>
      <c r="I69" s="64"/>
      <c r="J69" s="41"/>
      <c r="K69" s="41"/>
      <c r="L69" s="15"/>
      <c r="M69" s="15"/>
      <c r="N69" s="15"/>
      <c r="O69" s="15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4.25" customHeight="1">
      <c r="A70" s="15"/>
      <c r="B70" s="15"/>
      <c r="C70" s="15"/>
      <c r="D70" s="15"/>
      <c r="E70" s="17"/>
      <c r="F70" s="15"/>
      <c r="G70" s="15"/>
      <c r="H70" s="27"/>
      <c r="I70" s="69"/>
      <c r="J70" s="41"/>
      <c r="K70" s="41"/>
      <c r="L70" s="15"/>
      <c r="M70" s="15"/>
      <c r="N70" s="15"/>
      <c r="O70" s="15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4.25" customHeight="1">
      <c r="A71" s="46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46"/>
      <c r="M71" s="27"/>
      <c r="N71" s="27"/>
      <c r="O71" s="27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4.25" customHeight="1">
      <c r="A72" s="46"/>
      <c r="B72" s="27"/>
      <c r="C72" s="27"/>
      <c r="D72" s="27"/>
      <c r="E72" s="47" t="s">
        <v>128</v>
      </c>
      <c r="F72" s="47" t="s">
        <v>129</v>
      </c>
      <c r="G72" s="47" t="s">
        <v>131</v>
      </c>
      <c r="H72" s="27"/>
      <c r="I72" s="27"/>
      <c r="J72" s="27"/>
      <c r="K72" s="27"/>
      <c r="L72" s="46"/>
      <c r="M72" s="27"/>
      <c r="N72" s="27"/>
      <c r="O72" s="27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4.25" customHeight="1">
      <c r="A73" s="46"/>
      <c r="B73" s="27"/>
      <c r="C73" s="50" t="s">
        <v>51</v>
      </c>
      <c r="D73" s="82"/>
      <c r="E73" s="52">
        <f t="shared" ref="E73:G73" si="5">SUM(C48:C70)</f>
        <v>20</v>
      </c>
      <c r="F73" s="52">
        <f t="shared" si="5"/>
        <v>3365000</v>
      </c>
      <c r="G73" s="52">
        <f t="shared" si="5"/>
        <v>517</v>
      </c>
      <c r="H73" s="27"/>
      <c r="I73" s="27"/>
      <c r="J73" s="27"/>
      <c r="K73" s="27"/>
      <c r="L73" s="46"/>
      <c r="M73" s="27"/>
      <c r="N73" s="50" t="s">
        <v>51</v>
      </c>
      <c r="O73" s="82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4.25" customHeight="1">
      <c r="A74" s="46"/>
      <c r="B74" s="27"/>
      <c r="C74" s="53" t="s">
        <v>9</v>
      </c>
      <c r="D74" s="83"/>
      <c r="E74" s="55">
        <f t="shared" ref="E74:G74" si="6">SUM(K48:K70)</f>
        <v>23</v>
      </c>
      <c r="F74" s="55">
        <f t="shared" si="6"/>
        <v>0</v>
      </c>
      <c r="G74" s="55">
        <f t="shared" si="6"/>
        <v>0</v>
      </c>
      <c r="H74" s="27"/>
      <c r="I74" s="27"/>
      <c r="J74" s="27"/>
      <c r="K74" s="27"/>
      <c r="L74" s="46"/>
      <c r="M74" s="27"/>
      <c r="N74" s="53" t="s">
        <v>9</v>
      </c>
      <c r="O74" s="83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4.25" customHeight="1">
      <c r="A75" s="46"/>
      <c r="B75" s="27"/>
      <c r="C75" s="57"/>
      <c r="D75" s="57"/>
      <c r="E75" s="57"/>
      <c r="F75" s="57"/>
      <c r="G75" s="57"/>
      <c r="H75" s="27"/>
      <c r="I75" s="27"/>
      <c r="J75" s="27"/>
      <c r="K75" s="27"/>
      <c r="L75" s="46"/>
      <c r="M75" s="27"/>
      <c r="N75" s="57"/>
      <c r="O75" s="57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4.25" customHeight="1">
      <c r="A76" s="4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46"/>
      <c r="M76" s="27"/>
      <c r="N76" s="27"/>
      <c r="O76" s="27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4.25" customHeight="1">
      <c r="A77" s="46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46"/>
      <c r="M77" s="27"/>
      <c r="N77" s="27"/>
      <c r="O77" s="27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4.25" customHeight="1">
      <c r="A78" s="46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46"/>
      <c r="M78" s="27"/>
      <c r="N78" s="27"/>
      <c r="O78" s="27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</sheetData>
  <mergeCells count="12">
    <mergeCell ref="C45:D45"/>
    <mergeCell ref="C73:D73"/>
    <mergeCell ref="N73:O73"/>
    <mergeCell ref="C74:D74"/>
    <mergeCell ref="N74:O74"/>
    <mergeCell ref="C16:D16"/>
    <mergeCell ref="N16:O16"/>
    <mergeCell ref="C17:D17"/>
    <mergeCell ref="N17:O17"/>
    <mergeCell ref="C44:D44"/>
    <mergeCell ref="N44:O44"/>
    <mergeCell ref="N45:O4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DD4"/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14"/>
    <col customWidth="1" min="3" max="3" width="22.14"/>
    <col customWidth="1" min="4" max="4" width="14.14"/>
    <col customWidth="1" min="5" max="5" width="11.43"/>
    <col customWidth="1" min="6" max="7" width="18.86"/>
    <col customWidth="1" min="8" max="8" width="27.14"/>
    <col customWidth="1" min="9" max="28" width="8.86"/>
  </cols>
  <sheetData>
    <row r="1" ht="33.0" customHeight="1">
      <c r="A1" s="13" t="s">
        <v>1</v>
      </c>
      <c r="B1" s="13" t="s">
        <v>14</v>
      </c>
      <c r="C1" s="13" t="s">
        <v>16</v>
      </c>
      <c r="D1" s="13" t="s">
        <v>18</v>
      </c>
      <c r="E1" s="13" t="s">
        <v>19</v>
      </c>
      <c r="F1" s="13" t="s">
        <v>6</v>
      </c>
      <c r="G1" s="13" t="s">
        <v>7</v>
      </c>
      <c r="H1" s="13" t="s">
        <v>24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47.25" customHeight="1">
      <c r="A2" s="21" t="s">
        <v>28</v>
      </c>
      <c r="B2" s="21" t="s">
        <v>30</v>
      </c>
      <c r="C2" s="21" t="s">
        <v>31</v>
      </c>
      <c r="D2" s="21" t="s">
        <v>32</v>
      </c>
      <c r="E2" s="21" t="s">
        <v>33</v>
      </c>
      <c r="F2" s="21" t="s">
        <v>34</v>
      </c>
      <c r="G2" s="21" t="s">
        <v>35</v>
      </c>
      <c r="H2" s="25" t="s">
        <v>36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4.25" customHeight="1">
      <c r="A3" s="26" t="s">
        <v>28</v>
      </c>
      <c r="B3" s="26" t="s">
        <v>30</v>
      </c>
      <c r="C3" s="26" t="s">
        <v>43</v>
      </c>
      <c r="D3" s="26" t="s">
        <v>44</v>
      </c>
      <c r="E3" s="26" t="s">
        <v>45</v>
      </c>
      <c r="F3" s="26" t="s">
        <v>46</v>
      </c>
      <c r="G3" s="26" t="s">
        <v>47</v>
      </c>
      <c r="H3" s="2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14.25" customHeight="1">
      <c r="A4" s="26" t="s">
        <v>28</v>
      </c>
      <c r="B4" s="26"/>
      <c r="C4" s="26"/>
      <c r="D4" s="26"/>
      <c r="E4" s="26"/>
      <c r="F4" s="26"/>
      <c r="G4" s="26"/>
      <c r="H4" s="2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4.25" customHeight="1">
      <c r="A5" s="26" t="s">
        <v>28</v>
      </c>
      <c r="B5" s="26" t="s">
        <v>30</v>
      </c>
      <c r="C5" s="26" t="s">
        <v>52</v>
      </c>
      <c r="D5" s="26" t="s">
        <v>53</v>
      </c>
      <c r="E5" s="26" t="s">
        <v>54</v>
      </c>
      <c r="F5" s="26" t="s">
        <v>46</v>
      </c>
      <c r="G5" s="26" t="s">
        <v>55</v>
      </c>
      <c r="H5" s="26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14.25" customHeight="1">
      <c r="A6" s="26" t="s">
        <v>28</v>
      </c>
      <c r="B6" s="26" t="s">
        <v>30</v>
      </c>
      <c r="C6" s="26" t="s">
        <v>57</v>
      </c>
      <c r="D6" s="26" t="s">
        <v>58</v>
      </c>
      <c r="E6" s="26" t="s">
        <v>59</v>
      </c>
      <c r="F6" s="26" t="s">
        <v>34</v>
      </c>
      <c r="G6" s="26" t="s">
        <v>60</v>
      </c>
      <c r="H6" s="2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14.25" customHeight="1">
      <c r="A7" s="38">
        <v>46027.0</v>
      </c>
      <c r="B7" s="26" t="s">
        <v>30</v>
      </c>
      <c r="C7" s="26" t="s">
        <v>64</v>
      </c>
      <c r="D7" s="26" t="s">
        <v>65</v>
      </c>
      <c r="E7" s="26" t="s">
        <v>66</v>
      </c>
      <c r="F7" s="26" t="s">
        <v>34</v>
      </c>
      <c r="G7" s="26" t="s">
        <v>67</v>
      </c>
      <c r="H7" s="26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14.25" customHeight="1">
      <c r="A8" s="38">
        <v>46027.0</v>
      </c>
      <c r="B8" s="26" t="s">
        <v>30</v>
      </c>
      <c r="C8" s="26" t="s">
        <v>70</v>
      </c>
      <c r="D8" s="26" t="s">
        <v>65</v>
      </c>
      <c r="E8" s="26" t="s">
        <v>72</v>
      </c>
      <c r="F8" s="26" t="s">
        <v>46</v>
      </c>
      <c r="G8" s="26" t="s">
        <v>73</v>
      </c>
      <c r="H8" s="26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4.25" customHeight="1">
      <c r="A9" s="38">
        <v>46027.0</v>
      </c>
      <c r="B9" s="26" t="s">
        <v>30</v>
      </c>
      <c r="C9" s="26" t="s">
        <v>76</v>
      </c>
      <c r="D9" s="26" t="s">
        <v>77</v>
      </c>
      <c r="E9" s="26" t="s">
        <v>78</v>
      </c>
      <c r="F9" s="26" t="s">
        <v>34</v>
      </c>
      <c r="G9" s="26" t="s">
        <v>79</v>
      </c>
      <c r="H9" s="2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4.25" customHeight="1">
      <c r="A10" s="38">
        <v>46032.0</v>
      </c>
      <c r="B10" s="26" t="s">
        <v>30</v>
      </c>
      <c r="C10" s="26" t="s">
        <v>80</v>
      </c>
      <c r="D10" s="26" t="s">
        <v>81</v>
      </c>
      <c r="E10" s="26" t="s">
        <v>82</v>
      </c>
      <c r="F10" s="26" t="s">
        <v>46</v>
      </c>
      <c r="G10" s="26" t="s">
        <v>83</v>
      </c>
      <c r="H10" s="26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14.25" customHeight="1">
      <c r="A11" s="38">
        <v>46032.0</v>
      </c>
      <c r="B11" s="26" t="s">
        <v>30</v>
      </c>
      <c r="C11" s="26" t="s">
        <v>85</v>
      </c>
      <c r="D11" s="26" t="s">
        <v>44</v>
      </c>
      <c r="E11" s="26" t="s">
        <v>86</v>
      </c>
      <c r="F11" s="26" t="s">
        <v>34</v>
      </c>
      <c r="G11" s="26" t="s">
        <v>87</v>
      </c>
      <c r="H11" s="2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14.25" customHeight="1">
      <c r="A12" s="38">
        <v>46033.0</v>
      </c>
      <c r="B12" s="26" t="s">
        <v>30</v>
      </c>
      <c r="C12" s="26" t="s">
        <v>89</v>
      </c>
      <c r="D12" s="26" t="s">
        <v>44</v>
      </c>
      <c r="E12" s="26" t="s">
        <v>90</v>
      </c>
      <c r="F12" s="26" t="s">
        <v>46</v>
      </c>
      <c r="G12" s="26" t="s">
        <v>91</v>
      </c>
      <c r="H12" s="26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14.25" customHeight="1">
      <c r="A13" s="38">
        <v>46035.0</v>
      </c>
      <c r="B13" s="26" t="s">
        <v>30</v>
      </c>
      <c r="C13" s="26" t="s">
        <v>93</v>
      </c>
      <c r="D13" s="26" t="s">
        <v>94</v>
      </c>
      <c r="E13" s="26" t="s">
        <v>95</v>
      </c>
      <c r="F13" s="26" t="s">
        <v>34</v>
      </c>
      <c r="G13" s="26" t="s">
        <v>96</v>
      </c>
      <c r="H13" s="2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4.25" customHeight="1">
      <c r="A14" s="38">
        <v>46036.0</v>
      </c>
      <c r="B14" s="26" t="s">
        <v>30</v>
      </c>
      <c r="C14" s="26" t="s">
        <v>97</v>
      </c>
      <c r="D14" s="26" t="s">
        <v>44</v>
      </c>
      <c r="E14" s="26" t="s">
        <v>98</v>
      </c>
      <c r="F14" s="26" t="s">
        <v>34</v>
      </c>
      <c r="G14" s="26" t="s">
        <v>99</v>
      </c>
      <c r="H14" s="2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4.25" customHeight="1">
      <c r="A15" s="38">
        <v>46038.0</v>
      </c>
      <c r="B15" s="26" t="s">
        <v>30</v>
      </c>
      <c r="C15" s="26" t="s">
        <v>101</v>
      </c>
      <c r="D15" s="26" t="s">
        <v>44</v>
      </c>
      <c r="E15" s="26" t="s">
        <v>102</v>
      </c>
      <c r="F15" s="26" t="s">
        <v>34</v>
      </c>
      <c r="G15" s="26" t="s">
        <v>103</v>
      </c>
      <c r="H15" s="2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14.25" customHeight="1">
      <c r="A16" s="38">
        <v>46047.0</v>
      </c>
      <c r="B16" s="26" t="s">
        <v>30</v>
      </c>
      <c r="C16" s="26" t="s">
        <v>104</v>
      </c>
      <c r="D16" s="26" t="s">
        <v>44</v>
      </c>
      <c r="E16" s="26" t="s">
        <v>78</v>
      </c>
      <c r="F16" s="26" t="s">
        <v>34</v>
      </c>
      <c r="G16" s="26" t="s">
        <v>105</v>
      </c>
      <c r="H16" s="2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14.25" customHeight="1">
      <c r="A17" s="43">
        <v>46058.0</v>
      </c>
      <c r="B17" s="21" t="s">
        <v>30</v>
      </c>
      <c r="C17" s="21" t="s">
        <v>70</v>
      </c>
      <c r="D17" s="21" t="s">
        <v>65</v>
      </c>
      <c r="E17" s="21" t="s">
        <v>107</v>
      </c>
      <c r="F17" s="21" t="s">
        <v>46</v>
      </c>
      <c r="G17" s="21" t="s">
        <v>108</v>
      </c>
      <c r="H17" s="44" t="s">
        <v>109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14.25" customHeight="1">
      <c r="A18" s="38">
        <v>46058.0</v>
      </c>
      <c r="B18" s="26" t="s">
        <v>30</v>
      </c>
      <c r="C18" s="26" t="s">
        <v>111</v>
      </c>
      <c r="D18" s="26" t="s">
        <v>65</v>
      </c>
      <c r="E18" s="26" t="s">
        <v>112</v>
      </c>
      <c r="F18" s="26" t="s">
        <v>34</v>
      </c>
      <c r="G18" s="26" t="s">
        <v>108</v>
      </c>
      <c r="H18" s="25" t="s">
        <v>113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14.25" customHeight="1">
      <c r="A19" s="38">
        <v>46063.0</v>
      </c>
      <c r="B19" s="26" t="s">
        <v>30</v>
      </c>
      <c r="C19" s="26" t="s">
        <v>114</v>
      </c>
      <c r="D19" s="26" t="s">
        <v>65</v>
      </c>
      <c r="E19" s="26" t="s">
        <v>115</v>
      </c>
      <c r="F19" s="26" t="s">
        <v>34</v>
      </c>
      <c r="G19" s="26" t="s">
        <v>108</v>
      </c>
      <c r="H19" s="2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14.25" customHeight="1">
      <c r="A20" s="38">
        <v>46065.0</v>
      </c>
      <c r="B20" s="26" t="s">
        <v>30</v>
      </c>
      <c r="C20" s="26" t="s">
        <v>118</v>
      </c>
      <c r="D20" s="26" t="s">
        <v>65</v>
      </c>
      <c r="E20" s="26" t="s">
        <v>119</v>
      </c>
      <c r="F20" s="26" t="s">
        <v>46</v>
      </c>
      <c r="G20" s="26" t="s">
        <v>65</v>
      </c>
      <c r="H20" s="2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14.25" customHeight="1">
      <c r="A21" s="38">
        <v>46068.0</v>
      </c>
      <c r="B21" s="26" t="s">
        <v>30</v>
      </c>
      <c r="C21" s="26" t="s">
        <v>97</v>
      </c>
      <c r="D21" s="26" t="s">
        <v>120</v>
      </c>
      <c r="E21" s="26" t="s">
        <v>98</v>
      </c>
      <c r="F21" s="26" t="s">
        <v>46</v>
      </c>
      <c r="G21" s="26" t="s">
        <v>99</v>
      </c>
      <c r="H21" s="2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4.25" customHeight="1">
      <c r="A22" s="45">
        <v>46069.0</v>
      </c>
      <c r="B22" s="26" t="s">
        <v>30</v>
      </c>
      <c r="C22" s="26" t="s">
        <v>121</v>
      </c>
      <c r="D22" s="26" t="s">
        <v>44</v>
      </c>
      <c r="E22" s="26" t="s">
        <v>122</v>
      </c>
      <c r="F22" s="26" t="s">
        <v>46</v>
      </c>
      <c r="G22" s="26" t="s">
        <v>123</v>
      </c>
      <c r="H22" s="26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14.25" customHeight="1">
      <c r="A23" s="38">
        <v>46073.0</v>
      </c>
      <c r="B23" s="26" t="s">
        <v>30</v>
      </c>
      <c r="C23" s="26" t="s">
        <v>124</v>
      </c>
      <c r="D23" s="26" t="s">
        <v>44</v>
      </c>
      <c r="E23" s="26" t="s">
        <v>125</v>
      </c>
      <c r="F23" s="26" t="s">
        <v>46</v>
      </c>
      <c r="G23" s="26" t="s">
        <v>123</v>
      </c>
      <c r="H23" s="2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4.25" customHeight="1">
      <c r="A24" s="38">
        <v>46073.0</v>
      </c>
      <c r="B24" s="26" t="s">
        <v>30</v>
      </c>
      <c r="C24" s="26" t="s">
        <v>126</v>
      </c>
      <c r="D24" s="26" t="s">
        <v>120</v>
      </c>
      <c r="E24" s="26" t="s">
        <v>127</v>
      </c>
      <c r="F24" s="26" t="s">
        <v>46</v>
      </c>
      <c r="G24" s="26" t="s">
        <v>120</v>
      </c>
      <c r="H24" s="2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4.25" customHeight="1">
      <c r="A25" s="38">
        <v>46074.0</v>
      </c>
      <c r="B25" s="26" t="s">
        <v>30</v>
      </c>
      <c r="C25" s="26" t="s">
        <v>130</v>
      </c>
      <c r="D25" s="26" t="s">
        <v>44</v>
      </c>
      <c r="E25" s="26" t="s">
        <v>132</v>
      </c>
      <c r="F25" s="26" t="s">
        <v>46</v>
      </c>
      <c r="G25" s="26" t="s">
        <v>44</v>
      </c>
      <c r="H25" s="2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4.25" customHeight="1">
      <c r="A26" s="46"/>
      <c r="B26" s="27"/>
      <c r="C26" s="27"/>
      <c r="D26" s="27"/>
      <c r="E26" s="27"/>
      <c r="F26" s="27"/>
      <c r="G26" s="27"/>
      <c r="H26" s="48"/>
      <c r="I26" s="49"/>
      <c r="J26" s="49"/>
      <c r="K26" s="49"/>
      <c r="L26" s="4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14.25" customHeight="1">
      <c r="A27" s="43">
        <v>46086.0</v>
      </c>
      <c r="B27" s="21" t="s">
        <v>30</v>
      </c>
      <c r="C27" s="21" t="s">
        <v>133</v>
      </c>
      <c r="D27" s="21" t="s">
        <v>134</v>
      </c>
      <c r="E27" s="21" t="s">
        <v>135</v>
      </c>
      <c r="F27" s="21" t="s">
        <v>34</v>
      </c>
      <c r="G27" s="21" t="s">
        <v>120</v>
      </c>
      <c r="H27" s="44" t="s">
        <v>136</v>
      </c>
      <c r="I27" s="49"/>
      <c r="J27" s="49"/>
      <c r="K27" s="49"/>
      <c r="L27" s="4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14.25" customHeight="1">
      <c r="A28" s="38">
        <v>46086.0</v>
      </c>
      <c r="B28" s="26" t="s">
        <v>30</v>
      </c>
      <c r="C28" s="26" t="s">
        <v>70</v>
      </c>
      <c r="D28" s="26" t="s">
        <v>120</v>
      </c>
      <c r="E28" s="26" t="s">
        <v>107</v>
      </c>
      <c r="F28" s="26" t="s">
        <v>46</v>
      </c>
      <c r="G28" s="26" t="s">
        <v>120</v>
      </c>
      <c r="H28" s="25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4.25" customHeight="1">
      <c r="A29" s="38">
        <v>46086.0</v>
      </c>
      <c r="B29" s="26" t="s">
        <v>137</v>
      </c>
      <c r="C29" s="26" t="s">
        <v>138</v>
      </c>
      <c r="D29" s="26" t="s">
        <v>120</v>
      </c>
      <c r="E29" s="26" t="s">
        <v>139</v>
      </c>
      <c r="F29" s="26" t="s">
        <v>46</v>
      </c>
      <c r="G29" s="26" t="s">
        <v>120</v>
      </c>
      <c r="H29" s="26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4.25" customHeight="1">
      <c r="A30" s="38">
        <v>46086.0</v>
      </c>
      <c r="B30" s="26" t="s">
        <v>30</v>
      </c>
      <c r="C30" s="26" t="s">
        <v>126</v>
      </c>
      <c r="D30" s="26" t="s">
        <v>120</v>
      </c>
      <c r="E30" s="26" t="s">
        <v>119</v>
      </c>
      <c r="F30" s="26" t="s">
        <v>46</v>
      </c>
      <c r="G30" s="26" t="s">
        <v>120</v>
      </c>
      <c r="H30" s="26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4.25" customHeight="1">
      <c r="A31" s="38">
        <v>46086.0</v>
      </c>
      <c r="B31" s="26" t="s">
        <v>30</v>
      </c>
      <c r="C31" s="26" t="s">
        <v>118</v>
      </c>
      <c r="D31" s="26" t="s">
        <v>120</v>
      </c>
      <c r="E31" s="26" t="s">
        <v>140</v>
      </c>
      <c r="F31" s="26" t="s">
        <v>34</v>
      </c>
      <c r="G31" s="26" t="s">
        <v>120</v>
      </c>
      <c r="H31" s="26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4.25" customHeight="1">
      <c r="A32" s="38">
        <v>46088.0</v>
      </c>
      <c r="B32" s="26" t="s">
        <v>141</v>
      </c>
      <c r="C32" s="26" t="s">
        <v>31</v>
      </c>
      <c r="D32" s="26" t="s">
        <v>142</v>
      </c>
      <c r="E32" s="26" t="s">
        <v>143</v>
      </c>
      <c r="F32" s="26" t="s">
        <v>34</v>
      </c>
      <c r="G32" s="26" t="s">
        <v>144</v>
      </c>
      <c r="H32" s="2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4.25" customHeight="1">
      <c r="A33" s="38">
        <v>46088.0</v>
      </c>
      <c r="B33" s="26" t="s">
        <v>141</v>
      </c>
      <c r="C33" s="26" t="s">
        <v>43</v>
      </c>
      <c r="D33" s="26" t="s">
        <v>44</v>
      </c>
      <c r="E33" s="26" t="s">
        <v>145</v>
      </c>
      <c r="F33" s="26" t="s">
        <v>34</v>
      </c>
      <c r="G33" s="26" t="s">
        <v>44</v>
      </c>
      <c r="H33" s="2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4.25" customHeight="1">
      <c r="A34" s="38">
        <v>46091.0</v>
      </c>
      <c r="B34" s="26" t="s">
        <v>141</v>
      </c>
      <c r="C34" s="26" t="s">
        <v>64</v>
      </c>
      <c r="D34" s="26" t="s">
        <v>146</v>
      </c>
      <c r="E34" s="56" t="s">
        <v>147</v>
      </c>
      <c r="F34" s="26" t="s">
        <v>34</v>
      </c>
      <c r="G34" s="26" t="s">
        <v>146</v>
      </c>
      <c r="H34" s="26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4.25" customHeight="1">
      <c r="A35" s="38">
        <v>46096.0</v>
      </c>
      <c r="B35" s="26" t="s">
        <v>141</v>
      </c>
      <c r="C35" s="26" t="s">
        <v>148</v>
      </c>
      <c r="D35" s="26" t="s">
        <v>65</v>
      </c>
      <c r="E35" s="26" t="s">
        <v>149</v>
      </c>
      <c r="F35" s="26" t="s">
        <v>46</v>
      </c>
      <c r="G35" s="26" t="s">
        <v>65</v>
      </c>
      <c r="H35" s="2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4.25" customHeight="1">
      <c r="A36" s="38">
        <v>46102.0</v>
      </c>
      <c r="B36" s="26" t="s">
        <v>141</v>
      </c>
      <c r="C36" s="26" t="s">
        <v>76</v>
      </c>
      <c r="D36" s="26" t="s">
        <v>94</v>
      </c>
      <c r="E36" s="26" t="s">
        <v>150</v>
      </c>
      <c r="F36" s="26" t="s">
        <v>46</v>
      </c>
      <c r="G36" s="26" t="s">
        <v>94</v>
      </c>
      <c r="H36" s="26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4.25" customHeight="1">
      <c r="A37" s="38">
        <v>46102.0</v>
      </c>
      <c r="B37" s="26" t="s">
        <v>141</v>
      </c>
      <c r="C37" s="26" t="s">
        <v>151</v>
      </c>
      <c r="D37" s="26" t="s">
        <v>44</v>
      </c>
      <c r="E37" s="26" t="s">
        <v>152</v>
      </c>
      <c r="F37" s="26" t="s">
        <v>34</v>
      </c>
      <c r="G37" s="26" t="s">
        <v>153</v>
      </c>
      <c r="H37" s="26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4.25" customHeight="1">
      <c r="A38" s="38">
        <v>46102.0</v>
      </c>
      <c r="B38" s="26" t="s">
        <v>141</v>
      </c>
      <c r="C38" s="26" t="s">
        <v>154</v>
      </c>
      <c r="D38" s="26" t="s">
        <v>44</v>
      </c>
      <c r="E38" s="26" t="s">
        <v>66</v>
      </c>
      <c r="F38" s="26" t="s">
        <v>46</v>
      </c>
      <c r="G38" s="26" t="s">
        <v>155</v>
      </c>
      <c r="H38" s="26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4.25" customHeight="1">
      <c r="A39" s="38">
        <v>46102.0</v>
      </c>
      <c r="B39" s="26" t="s">
        <v>141</v>
      </c>
      <c r="C39" s="26" t="s">
        <v>156</v>
      </c>
      <c r="D39" s="26" t="s">
        <v>44</v>
      </c>
      <c r="E39" s="26" t="s">
        <v>127</v>
      </c>
      <c r="F39" s="26" t="s">
        <v>34</v>
      </c>
      <c r="G39" s="26" t="s">
        <v>44</v>
      </c>
      <c r="H39" s="26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14.25" customHeight="1">
      <c r="A40" s="38">
        <v>46102.0</v>
      </c>
      <c r="B40" s="26" t="s">
        <v>141</v>
      </c>
      <c r="C40" s="26" t="s">
        <v>80</v>
      </c>
      <c r="D40" s="26" t="s">
        <v>77</v>
      </c>
      <c r="E40" s="26" t="s">
        <v>112</v>
      </c>
      <c r="F40" s="26" t="s">
        <v>34</v>
      </c>
      <c r="G40" s="26" t="s">
        <v>157</v>
      </c>
      <c r="H40" s="26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4.25" customHeight="1">
      <c r="A41" s="38">
        <v>46102.0</v>
      </c>
      <c r="B41" s="26" t="s">
        <v>141</v>
      </c>
      <c r="C41" s="26" t="s">
        <v>158</v>
      </c>
      <c r="D41" s="26" t="s">
        <v>44</v>
      </c>
      <c r="E41" s="26" t="s">
        <v>149</v>
      </c>
      <c r="F41" s="26" t="s">
        <v>34</v>
      </c>
      <c r="G41" s="26" t="s">
        <v>44</v>
      </c>
      <c r="H41" s="26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4.25" customHeight="1">
      <c r="A42" s="38">
        <v>46102.0</v>
      </c>
      <c r="B42" s="26" t="s">
        <v>141</v>
      </c>
      <c r="C42" s="26" t="s">
        <v>161</v>
      </c>
      <c r="D42" s="26" t="s">
        <v>44</v>
      </c>
      <c r="E42" s="26" t="s">
        <v>162</v>
      </c>
      <c r="F42" s="26" t="s">
        <v>46</v>
      </c>
      <c r="G42" s="26" t="s">
        <v>44</v>
      </c>
      <c r="H42" s="26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4.25" customHeight="1">
      <c r="A43" s="38">
        <v>46102.0</v>
      </c>
      <c r="B43" s="26" t="s">
        <v>141</v>
      </c>
      <c r="C43" s="26" t="s">
        <v>165</v>
      </c>
      <c r="D43" s="26" t="s">
        <v>44</v>
      </c>
      <c r="E43" s="26" t="s">
        <v>166</v>
      </c>
      <c r="F43" s="26" t="s">
        <v>34</v>
      </c>
      <c r="G43" s="26" t="s">
        <v>44</v>
      </c>
      <c r="H43" s="26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4.25" customHeight="1">
      <c r="A44" s="38">
        <v>46102.0</v>
      </c>
      <c r="B44" s="26" t="s">
        <v>141</v>
      </c>
      <c r="C44" s="26" t="s">
        <v>168</v>
      </c>
      <c r="D44" s="26" t="s">
        <v>44</v>
      </c>
      <c r="E44" s="26" t="s">
        <v>170</v>
      </c>
      <c r="F44" s="26" t="s">
        <v>34</v>
      </c>
      <c r="G44" s="26" t="s">
        <v>44</v>
      </c>
      <c r="H44" s="26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4.25" customHeight="1">
      <c r="A45" s="38">
        <v>46102.0</v>
      </c>
      <c r="B45" s="26" t="s">
        <v>137</v>
      </c>
      <c r="C45" s="26" t="s">
        <v>173</v>
      </c>
      <c r="D45" s="26" t="s">
        <v>44</v>
      </c>
      <c r="E45" s="26" t="s">
        <v>174</v>
      </c>
      <c r="F45" s="26" t="s">
        <v>46</v>
      </c>
      <c r="G45" s="26" t="s">
        <v>175</v>
      </c>
      <c r="H45" s="26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4.25" customHeight="1">
      <c r="A46" s="38">
        <v>46102.0</v>
      </c>
      <c r="B46" s="26" t="s">
        <v>141</v>
      </c>
      <c r="C46" s="26" t="s">
        <v>104</v>
      </c>
      <c r="D46" s="26" t="s">
        <v>44</v>
      </c>
      <c r="E46" s="26" t="s">
        <v>119</v>
      </c>
      <c r="F46" s="26" t="s">
        <v>34</v>
      </c>
      <c r="G46" s="26" t="s">
        <v>177</v>
      </c>
      <c r="H46" s="26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4.25" customHeight="1">
      <c r="A47" s="58">
        <v>46110.0</v>
      </c>
      <c r="B47" s="59" t="s">
        <v>141</v>
      </c>
      <c r="C47" s="59" t="s">
        <v>181</v>
      </c>
      <c r="D47" s="59" t="s">
        <v>44</v>
      </c>
      <c r="E47" s="59" t="s">
        <v>182</v>
      </c>
      <c r="F47" s="59" t="s">
        <v>46</v>
      </c>
      <c r="G47" s="59" t="s">
        <v>183</v>
      </c>
      <c r="H47" s="26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4.25" customHeight="1">
      <c r="A48" s="58">
        <v>46110.0</v>
      </c>
      <c r="B48" s="59" t="s">
        <v>30</v>
      </c>
      <c r="C48" s="59" t="s">
        <v>185</v>
      </c>
      <c r="D48" s="59" t="s">
        <v>186</v>
      </c>
      <c r="E48" s="59" t="s">
        <v>187</v>
      </c>
      <c r="F48" s="59" t="s">
        <v>46</v>
      </c>
      <c r="G48" s="59" t="s">
        <v>188</v>
      </c>
      <c r="H48" s="26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4.25" customHeight="1">
      <c r="A49" s="58">
        <v>46110.0</v>
      </c>
      <c r="B49" s="59" t="s">
        <v>30</v>
      </c>
      <c r="C49" s="59" t="s">
        <v>191</v>
      </c>
      <c r="D49" s="59" t="s">
        <v>44</v>
      </c>
      <c r="E49" s="59" t="s">
        <v>192</v>
      </c>
      <c r="F49" s="59" t="s">
        <v>46</v>
      </c>
      <c r="G49" s="59" t="s">
        <v>193</v>
      </c>
      <c r="H49" s="26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4.25" customHeight="1">
      <c r="A50" s="58">
        <v>46110.0</v>
      </c>
      <c r="B50" s="59" t="s">
        <v>30</v>
      </c>
      <c r="C50" s="59" t="s">
        <v>195</v>
      </c>
      <c r="D50" s="59" t="s">
        <v>196</v>
      </c>
      <c r="E50" s="59" t="s">
        <v>78</v>
      </c>
      <c r="F50" s="59" t="s">
        <v>34</v>
      </c>
      <c r="G50" s="59" t="s">
        <v>197</v>
      </c>
      <c r="H50" s="26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14.25" customHeight="1">
      <c r="A51" s="58">
        <v>46111.0</v>
      </c>
      <c r="B51" s="59" t="s">
        <v>30</v>
      </c>
      <c r="C51" s="59" t="s">
        <v>200</v>
      </c>
      <c r="D51" s="59" t="s">
        <v>44</v>
      </c>
      <c r="E51" s="59" t="s">
        <v>201</v>
      </c>
      <c r="F51" s="59" t="s">
        <v>46</v>
      </c>
      <c r="G51" s="59" t="s">
        <v>202</v>
      </c>
      <c r="H51" s="26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4.25" customHeight="1">
      <c r="A52" s="58">
        <v>46112.0</v>
      </c>
      <c r="B52" s="59" t="s">
        <v>30</v>
      </c>
      <c r="C52" s="59" t="s">
        <v>204</v>
      </c>
      <c r="D52" s="59" t="s">
        <v>44</v>
      </c>
      <c r="E52" s="59" t="s">
        <v>205</v>
      </c>
      <c r="F52" s="59" t="s">
        <v>46</v>
      </c>
      <c r="G52" s="59" t="s">
        <v>202</v>
      </c>
      <c r="H52" s="26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4.25" customHeight="1">
      <c r="A53" s="58">
        <v>46112.0</v>
      </c>
      <c r="B53" s="59" t="s">
        <v>30</v>
      </c>
      <c r="C53" s="59" t="s">
        <v>208</v>
      </c>
      <c r="D53" s="59" t="s">
        <v>44</v>
      </c>
      <c r="E53" s="59" t="s">
        <v>209</v>
      </c>
      <c r="F53" s="59" t="s">
        <v>46</v>
      </c>
      <c r="G53" s="59" t="s">
        <v>210</v>
      </c>
      <c r="H53" s="26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4.25" customHeight="1">
      <c r="A54" s="58">
        <v>46112.0</v>
      </c>
      <c r="B54" s="59" t="s">
        <v>141</v>
      </c>
      <c r="C54" s="59" t="s">
        <v>212</v>
      </c>
      <c r="D54" s="59" t="s">
        <v>44</v>
      </c>
      <c r="E54" s="59" t="s">
        <v>213</v>
      </c>
      <c r="F54" s="59" t="s">
        <v>46</v>
      </c>
      <c r="G54" s="59" t="s">
        <v>202</v>
      </c>
      <c r="H54" s="26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4.25" customHeight="1">
      <c r="A55" s="58">
        <v>46112.0</v>
      </c>
      <c r="B55" s="59" t="s">
        <v>141</v>
      </c>
      <c r="C55" s="59" t="s">
        <v>215</v>
      </c>
      <c r="D55" s="59" t="s">
        <v>44</v>
      </c>
      <c r="E55" s="59" t="s">
        <v>216</v>
      </c>
      <c r="F55" s="59" t="s">
        <v>46</v>
      </c>
      <c r="G55" s="59" t="s">
        <v>202</v>
      </c>
      <c r="H55" s="26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4.25" customHeight="1">
      <c r="A56" s="58">
        <v>46112.0</v>
      </c>
      <c r="B56" s="59" t="s">
        <v>30</v>
      </c>
      <c r="C56" s="59" t="s">
        <v>218</v>
      </c>
      <c r="D56" s="59" t="s">
        <v>186</v>
      </c>
      <c r="E56" s="59" t="s">
        <v>219</v>
      </c>
      <c r="F56" s="59" t="s">
        <v>46</v>
      </c>
      <c r="G56" s="59" t="s">
        <v>202</v>
      </c>
      <c r="H56" s="26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4.25" customHeight="1">
      <c r="A57" s="58">
        <v>46112.0</v>
      </c>
      <c r="B57" s="59" t="s">
        <v>30</v>
      </c>
      <c r="C57" s="59" t="s">
        <v>195</v>
      </c>
      <c r="D57" s="59" t="s">
        <v>196</v>
      </c>
      <c r="E57" s="59" t="s">
        <v>221</v>
      </c>
      <c r="F57" s="59" t="s">
        <v>34</v>
      </c>
      <c r="G57" s="59" t="s">
        <v>222</v>
      </c>
      <c r="H57" s="26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4.25" customHeight="1">
      <c r="A59" s="6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4.25" customHeight="1">
      <c r="A60" s="61">
        <v>46113.0</v>
      </c>
      <c r="B60" s="62" t="s">
        <v>30</v>
      </c>
      <c r="C60" s="62" t="s">
        <v>227</v>
      </c>
      <c r="D60" s="62" t="s">
        <v>186</v>
      </c>
      <c r="E60" s="62">
        <v>330000.0</v>
      </c>
      <c r="F60" s="62" t="s">
        <v>46</v>
      </c>
      <c r="G60" s="62" t="s">
        <v>228</v>
      </c>
      <c r="H60" s="4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4.25" customHeight="1">
      <c r="A61" s="63">
        <v>46115.0</v>
      </c>
      <c r="B61" s="59" t="s">
        <v>30</v>
      </c>
      <c r="C61" s="59" t="s">
        <v>230</v>
      </c>
      <c r="D61" s="59" t="s">
        <v>44</v>
      </c>
      <c r="E61" s="59">
        <v>1131200.0</v>
      </c>
      <c r="F61" s="59" t="s">
        <v>46</v>
      </c>
      <c r="G61" s="59" t="s">
        <v>231</v>
      </c>
      <c r="H61" s="25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4.25" customHeight="1">
      <c r="A62" s="63">
        <v>46115.0</v>
      </c>
      <c r="B62" s="59" t="s">
        <v>141</v>
      </c>
      <c r="C62" s="59" t="s">
        <v>233</v>
      </c>
      <c r="D62" s="59" t="s">
        <v>44</v>
      </c>
      <c r="E62" s="59">
        <v>689000.0</v>
      </c>
      <c r="F62" s="59" t="s">
        <v>46</v>
      </c>
      <c r="G62" s="59" t="s">
        <v>235</v>
      </c>
      <c r="H62" s="26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4.25" customHeight="1">
      <c r="A63" s="63">
        <v>46117.0</v>
      </c>
      <c r="B63" s="59" t="s">
        <v>30</v>
      </c>
      <c r="C63" s="59" t="s">
        <v>237</v>
      </c>
      <c r="D63" s="59" t="s">
        <v>44</v>
      </c>
      <c r="E63" s="59">
        <v>600000.0</v>
      </c>
      <c r="F63" s="59" t="s">
        <v>46</v>
      </c>
      <c r="G63" s="59" t="s">
        <v>238</v>
      </c>
      <c r="H63" s="26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4.25" customHeight="1">
      <c r="A64" s="63">
        <v>46120.0</v>
      </c>
      <c r="B64" s="59" t="s">
        <v>30</v>
      </c>
      <c r="C64" s="59" t="s">
        <v>239</v>
      </c>
      <c r="D64" s="59" t="s">
        <v>186</v>
      </c>
      <c r="E64" s="59">
        <v>8531000.0</v>
      </c>
      <c r="F64" s="59" t="s">
        <v>46</v>
      </c>
      <c r="G64" s="59" t="s">
        <v>241</v>
      </c>
      <c r="H64" s="26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4.25" customHeight="1">
      <c r="A65" s="63">
        <v>46120.0</v>
      </c>
      <c r="B65" s="59" t="s">
        <v>30</v>
      </c>
      <c r="C65" s="59" t="s">
        <v>242</v>
      </c>
      <c r="D65" s="59" t="s">
        <v>196</v>
      </c>
      <c r="E65" s="59">
        <v>3000000.0</v>
      </c>
      <c r="F65" s="59" t="s">
        <v>243</v>
      </c>
      <c r="G65" s="59" t="s">
        <v>244</v>
      </c>
      <c r="H65" s="26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4.25" customHeight="1">
      <c r="A66" s="63">
        <v>46121.0</v>
      </c>
      <c r="B66" s="59" t="s">
        <v>30</v>
      </c>
      <c r="C66" s="59" t="s">
        <v>245</v>
      </c>
      <c r="D66" s="59" t="s">
        <v>44</v>
      </c>
      <c r="E66" s="59">
        <v>700000.0</v>
      </c>
      <c r="F66" s="59" t="s">
        <v>46</v>
      </c>
      <c r="G66" s="59" t="s">
        <v>235</v>
      </c>
      <c r="H66" s="26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4.25" customHeight="1">
      <c r="A67" s="63">
        <v>46121.0</v>
      </c>
      <c r="B67" s="59" t="s">
        <v>30</v>
      </c>
      <c r="C67" s="59" t="s">
        <v>191</v>
      </c>
      <c r="D67" s="59" t="s">
        <v>44</v>
      </c>
      <c r="E67" s="65">
        <v>15000.0</v>
      </c>
      <c r="F67" s="59" t="s">
        <v>46</v>
      </c>
      <c r="G67" s="59" t="s">
        <v>235</v>
      </c>
      <c r="H67" s="26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4.25" customHeight="1">
      <c r="A68" s="63">
        <v>46124.0</v>
      </c>
      <c r="B68" s="59" t="s">
        <v>141</v>
      </c>
      <c r="C68" s="59" t="s">
        <v>248</v>
      </c>
      <c r="D68" s="59" t="s">
        <v>44</v>
      </c>
      <c r="E68" s="59">
        <v>600000.0</v>
      </c>
      <c r="F68" s="59" t="s">
        <v>243</v>
      </c>
      <c r="G68" s="59" t="s">
        <v>222</v>
      </c>
      <c r="H68" s="26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4.25" customHeight="1">
      <c r="A69" s="63">
        <v>46124.0</v>
      </c>
      <c r="B69" s="59" t="s">
        <v>141</v>
      </c>
      <c r="C69" s="59" t="s">
        <v>251</v>
      </c>
      <c r="D69" s="59" t="s">
        <v>44</v>
      </c>
      <c r="E69" s="59">
        <v>600000.0</v>
      </c>
      <c r="F69" s="59" t="s">
        <v>46</v>
      </c>
      <c r="G69" s="59" t="s">
        <v>235</v>
      </c>
      <c r="H69" s="26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4.25" customHeight="1">
      <c r="A70" s="63">
        <v>46125.0</v>
      </c>
      <c r="B70" s="59" t="s">
        <v>141</v>
      </c>
      <c r="C70" s="59" t="s">
        <v>252</v>
      </c>
      <c r="D70" s="59" t="s">
        <v>44</v>
      </c>
      <c r="E70" s="59">
        <v>340000.0</v>
      </c>
      <c r="F70" s="59" t="s">
        <v>46</v>
      </c>
      <c r="G70" s="59" t="s">
        <v>235</v>
      </c>
      <c r="H70" s="26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4.25" customHeight="1">
      <c r="A71" s="63">
        <v>46132.0</v>
      </c>
      <c r="B71" s="59" t="s">
        <v>141</v>
      </c>
      <c r="C71" s="59" t="s">
        <v>255</v>
      </c>
      <c r="D71" s="59" t="s">
        <v>44</v>
      </c>
      <c r="E71" s="59">
        <v>699000.0</v>
      </c>
      <c r="F71" s="59" t="s">
        <v>46</v>
      </c>
      <c r="G71" s="59" t="s">
        <v>235</v>
      </c>
      <c r="H71" s="26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4.25" customHeight="1">
      <c r="A72" s="63">
        <v>46132.0</v>
      </c>
      <c r="B72" s="59" t="s">
        <v>141</v>
      </c>
      <c r="C72" s="59" t="s">
        <v>256</v>
      </c>
      <c r="D72" s="59" t="s">
        <v>44</v>
      </c>
      <c r="E72" s="59">
        <v>122000.0</v>
      </c>
      <c r="F72" s="59" t="s">
        <v>46</v>
      </c>
      <c r="G72" s="59" t="s">
        <v>257</v>
      </c>
      <c r="H72" s="67" t="s">
        <v>258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4.25" customHeight="1">
      <c r="A73" s="63">
        <v>46132.0</v>
      </c>
      <c r="B73" s="59" t="s">
        <v>141</v>
      </c>
      <c r="C73" s="59" t="s">
        <v>256</v>
      </c>
      <c r="D73" s="59" t="s">
        <v>44</v>
      </c>
      <c r="E73" s="59">
        <v>35990.0</v>
      </c>
      <c r="F73" s="59" t="s">
        <v>46</v>
      </c>
      <c r="G73" s="59" t="s">
        <v>235</v>
      </c>
      <c r="H73" s="67" t="s">
        <v>261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4.25" customHeight="1">
      <c r="A74" s="63">
        <v>46138.0</v>
      </c>
      <c r="B74" s="59" t="s">
        <v>141</v>
      </c>
      <c r="C74" s="59" t="s">
        <v>263</v>
      </c>
      <c r="D74" s="59" t="s">
        <v>44</v>
      </c>
      <c r="E74" s="59">
        <v>670000.0</v>
      </c>
      <c r="F74" s="59" t="s">
        <v>46</v>
      </c>
      <c r="G74" s="59" t="s">
        <v>222</v>
      </c>
      <c r="H74" s="26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4.25" customHeight="1">
      <c r="A75" s="63">
        <v>46138.0</v>
      </c>
      <c r="B75" s="59" t="s">
        <v>141</v>
      </c>
      <c r="C75" s="59" t="s">
        <v>265</v>
      </c>
      <c r="D75" s="59" t="s">
        <v>44</v>
      </c>
      <c r="E75" s="59">
        <v>885000.0</v>
      </c>
      <c r="F75" s="59" t="s">
        <v>46</v>
      </c>
      <c r="G75" s="59" t="s">
        <v>266</v>
      </c>
      <c r="H75" s="26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4.25" customHeight="1">
      <c r="A76" s="63">
        <v>46139.0</v>
      </c>
      <c r="B76" s="59" t="s">
        <v>141</v>
      </c>
      <c r="C76" s="59" t="s">
        <v>252</v>
      </c>
      <c r="D76" s="59" t="s">
        <v>44</v>
      </c>
      <c r="E76" s="59">
        <v>265560.0</v>
      </c>
      <c r="F76" s="59" t="s">
        <v>46</v>
      </c>
      <c r="G76" s="59" t="s">
        <v>238</v>
      </c>
      <c r="H76" s="26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4.25" customHeight="1">
      <c r="A77" s="38"/>
      <c r="B77" s="26"/>
      <c r="C77" s="26"/>
      <c r="D77" s="26"/>
      <c r="E77" s="26"/>
      <c r="F77" s="26"/>
      <c r="G77" s="26"/>
      <c r="H77" s="26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4.25" customHeight="1">
      <c r="A78" s="38"/>
      <c r="B78" s="26"/>
      <c r="C78" s="26"/>
      <c r="D78" s="26"/>
      <c r="E78" s="26"/>
      <c r="F78" s="26"/>
      <c r="G78" s="26"/>
      <c r="H78" s="26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4.25" customHeight="1">
      <c r="A79" s="63">
        <v>46149.0</v>
      </c>
      <c r="B79" s="59" t="s">
        <v>270</v>
      </c>
      <c r="C79" s="59" t="s">
        <v>271</v>
      </c>
      <c r="D79" s="59" t="s">
        <v>186</v>
      </c>
      <c r="E79" s="59">
        <v>4800000.0</v>
      </c>
      <c r="F79" s="59" t="s">
        <v>46</v>
      </c>
      <c r="G79" s="59" t="s">
        <v>272</v>
      </c>
      <c r="H79" s="26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4.25" customHeight="1">
      <c r="A80" s="58">
        <v>46149.0</v>
      </c>
      <c r="B80" s="59" t="s">
        <v>270</v>
      </c>
      <c r="C80" s="59" t="s">
        <v>271</v>
      </c>
      <c r="D80" s="59" t="s">
        <v>186</v>
      </c>
      <c r="E80" s="59">
        <v>3600000.0</v>
      </c>
      <c r="F80" s="59" t="s">
        <v>34</v>
      </c>
      <c r="G80" s="59" t="s">
        <v>272</v>
      </c>
      <c r="H80" s="26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4.25" customHeight="1">
      <c r="A81" s="58">
        <v>46149.0</v>
      </c>
      <c r="B81" s="59" t="s">
        <v>270</v>
      </c>
      <c r="C81" s="59" t="s">
        <v>274</v>
      </c>
      <c r="D81" s="59" t="s">
        <v>186</v>
      </c>
      <c r="E81" s="59">
        <v>165000.0</v>
      </c>
      <c r="F81" s="59" t="s">
        <v>46</v>
      </c>
      <c r="G81" s="59"/>
      <c r="H81" s="26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4.25" customHeight="1">
      <c r="A82" s="58">
        <v>46149.0</v>
      </c>
      <c r="B82" s="59" t="s">
        <v>275</v>
      </c>
      <c r="C82" s="59" t="s">
        <v>276</v>
      </c>
      <c r="D82" s="59" t="s">
        <v>186</v>
      </c>
      <c r="E82" s="59">
        <v>50000.0</v>
      </c>
      <c r="F82" s="59" t="s">
        <v>46</v>
      </c>
      <c r="G82" s="59" t="s">
        <v>277</v>
      </c>
      <c r="H82" s="67" t="s">
        <v>278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4.25" customHeight="1">
      <c r="A83" s="58">
        <v>46149.0</v>
      </c>
      <c r="B83" s="59" t="s">
        <v>275</v>
      </c>
      <c r="C83" s="59" t="s">
        <v>276</v>
      </c>
      <c r="D83" s="59" t="s">
        <v>186</v>
      </c>
      <c r="E83" s="59">
        <v>20000.0</v>
      </c>
      <c r="F83" s="59" t="s">
        <v>46</v>
      </c>
      <c r="G83" s="59" t="s">
        <v>277</v>
      </c>
      <c r="H83" s="67" t="s">
        <v>280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4.25" customHeight="1">
      <c r="A84" s="58">
        <v>46149.0</v>
      </c>
      <c r="B84" s="59" t="s">
        <v>275</v>
      </c>
      <c r="C84" s="59" t="s">
        <v>276</v>
      </c>
      <c r="D84" s="59" t="s">
        <v>186</v>
      </c>
      <c r="E84" s="59">
        <v>30000.0</v>
      </c>
      <c r="F84" s="59" t="s">
        <v>46</v>
      </c>
      <c r="G84" s="59" t="s">
        <v>281</v>
      </c>
      <c r="H84" s="26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4.25" customHeight="1">
      <c r="A85" s="58">
        <v>46152.0</v>
      </c>
      <c r="B85" s="59" t="s">
        <v>270</v>
      </c>
      <c r="C85" s="59" t="s">
        <v>252</v>
      </c>
      <c r="D85" s="59" t="s">
        <v>282</v>
      </c>
      <c r="E85" s="59">
        <v>207000.0</v>
      </c>
      <c r="F85" s="59" t="s">
        <v>46</v>
      </c>
      <c r="G85" s="59"/>
      <c r="H85" s="26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4.25" customHeight="1">
      <c r="A86" s="58">
        <v>46157.0</v>
      </c>
      <c r="B86" s="59" t="s">
        <v>270</v>
      </c>
      <c r="C86" s="59" t="s">
        <v>283</v>
      </c>
      <c r="D86" s="59" t="s">
        <v>282</v>
      </c>
      <c r="E86" s="59">
        <v>3000000.0</v>
      </c>
      <c r="F86" s="59" t="s">
        <v>34</v>
      </c>
      <c r="G86" s="59" t="s">
        <v>284</v>
      </c>
      <c r="H86" s="5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4.25" customHeight="1">
      <c r="A87" s="58">
        <v>46165.0</v>
      </c>
      <c r="B87" s="59" t="s">
        <v>270</v>
      </c>
      <c r="C87" s="59" t="s">
        <v>195</v>
      </c>
      <c r="D87" s="59" t="s">
        <v>186</v>
      </c>
      <c r="E87" s="59">
        <v>2500000.0</v>
      </c>
      <c r="F87" s="59" t="s">
        <v>34</v>
      </c>
      <c r="G87" s="59" t="s">
        <v>285</v>
      </c>
      <c r="H87" s="26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4.25" customHeight="1">
      <c r="A88" s="58">
        <v>46165.0</v>
      </c>
      <c r="B88" s="59" t="s">
        <v>270</v>
      </c>
      <c r="C88" s="59" t="s">
        <v>286</v>
      </c>
      <c r="D88" s="59" t="s">
        <v>282</v>
      </c>
      <c r="E88" s="59">
        <v>189000.0</v>
      </c>
      <c r="F88" s="59" t="s">
        <v>46</v>
      </c>
      <c r="G88" s="59"/>
      <c r="H88" s="26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4.25" customHeight="1">
      <c r="A89" s="58">
        <v>46165.0</v>
      </c>
      <c r="B89" s="59" t="s">
        <v>275</v>
      </c>
      <c r="C89" s="59" t="s">
        <v>276</v>
      </c>
      <c r="D89" s="59" t="s">
        <v>282</v>
      </c>
      <c r="E89" s="59">
        <v>50000.0</v>
      </c>
      <c r="F89" s="59" t="s">
        <v>46</v>
      </c>
      <c r="G89" s="59" t="s">
        <v>277</v>
      </c>
      <c r="H89" s="26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4.25" customHeight="1">
      <c r="A90" s="58">
        <v>46172.0</v>
      </c>
      <c r="B90" s="59" t="s">
        <v>275</v>
      </c>
      <c r="C90" s="59" t="s">
        <v>276</v>
      </c>
      <c r="D90" s="59" t="s">
        <v>282</v>
      </c>
      <c r="E90" s="59">
        <v>100000.0</v>
      </c>
      <c r="F90" s="59" t="s">
        <v>46</v>
      </c>
      <c r="G90" s="59" t="s">
        <v>277</v>
      </c>
      <c r="H90" s="26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4.25" customHeight="1">
      <c r="A91" s="58">
        <v>46172.0</v>
      </c>
      <c r="B91" s="59" t="s">
        <v>275</v>
      </c>
      <c r="C91" s="59" t="s">
        <v>237</v>
      </c>
      <c r="D91" s="59" t="s">
        <v>282</v>
      </c>
      <c r="E91" s="59" t="s">
        <v>287</v>
      </c>
      <c r="F91" s="59" t="s">
        <v>46</v>
      </c>
      <c r="G91" s="59" t="s">
        <v>288</v>
      </c>
      <c r="H91" s="26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4.25" customHeight="1">
      <c r="A92" s="58">
        <v>46172.0</v>
      </c>
      <c r="B92" s="59" t="s">
        <v>275</v>
      </c>
      <c r="C92" s="59" t="s">
        <v>289</v>
      </c>
      <c r="D92" s="59" t="s">
        <v>282</v>
      </c>
      <c r="E92" s="59" t="s">
        <v>115</v>
      </c>
      <c r="F92" s="59" t="s">
        <v>34</v>
      </c>
      <c r="G92" s="59" t="s">
        <v>53</v>
      </c>
      <c r="H92" s="26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4.25" customHeight="1">
      <c r="A93" s="58">
        <v>46179.0</v>
      </c>
      <c r="B93" s="59" t="s">
        <v>275</v>
      </c>
      <c r="C93" s="59" t="s">
        <v>290</v>
      </c>
      <c r="D93" s="59" t="s">
        <v>186</v>
      </c>
      <c r="E93" s="59">
        <v>30000.0</v>
      </c>
      <c r="F93" s="59" t="s">
        <v>46</v>
      </c>
      <c r="G93" s="59" t="s">
        <v>281</v>
      </c>
      <c r="H93" s="67" t="s">
        <v>291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4.25" customHeight="1">
      <c r="A94" s="58">
        <v>46181.0</v>
      </c>
      <c r="B94" s="59" t="s">
        <v>275</v>
      </c>
      <c r="C94" s="59" t="s">
        <v>290</v>
      </c>
      <c r="D94" s="59" t="s">
        <v>186</v>
      </c>
      <c r="E94" s="59">
        <v>215000.0</v>
      </c>
      <c r="F94" s="59" t="s">
        <v>46</v>
      </c>
      <c r="G94" s="59" t="s">
        <v>274</v>
      </c>
      <c r="H94" s="67">
        <v>2.3353E7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4.25" customHeight="1">
      <c r="A95" s="58">
        <v>46181.0</v>
      </c>
      <c r="B95" s="59" t="s">
        <v>270</v>
      </c>
      <c r="C95" s="59" t="s">
        <v>290</v>
      </c>
      <c r="D95" s="59" t="s">
        <v>186</v>
      </c>
      <c r="E95" s="59">
        <v>180000.0</v>
      </c>
      <c r="F95" s="59" t="s">
        <v>46</v>
      </c>
      <c r="G95" s="59" t="s">
        <v>274</v>
      </c>
      <c r="H95" s="26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4.25" customHeight="1">
      <c r="A96" s="58">
        <v>46181.0</v>
      </c>
      <c r="B96" s="59" t="s">
        <v>275</v>
      </c>
      <c r="C96" s="59" t="s">
        <v>290</v>
      </c>
      <c r="D96" s="59" t="s">
        <v>186</v>
      </c>
      <c r="E96" s="59">
        <v>20000.0</v>
      </c>
      <c r="F96" s="59" t="s">
        <v>46</v>
      </c>
      <c r="G96" s="59" t="s">
        <v>297</v>
      </c>
      <c r="H96" s="26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4.25" customHeight="1">
      <c r="A97" s="58">
        <v>46181.0</v>
      </c>
      <c r="B97" s="59" t="s">
        <v>275</v>
      </c>
      <c r="C97" s="59" t="s">
        <v>290</v>
      </c>
      <c r="D97" s="59" t="s">
        <v>186</v>
      </c>
      <c r="E97" s="59">
        <v>50000.0</v>
      </c>
      <c r="F97" s="59" t="s">
        <v>46</v>
      </c>
      <c r="G97" s="59" t="s">
        <v>277</v>
      </c>
      <c r="H97" s="26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4.25" customHeight="1">
      <c r="A98" s="58">
        <v>46183.0</v>
      </c>
      <c r="B98" s="59" t="s">
        <v>275</v>
      </c>
      <c r="C98" s="59" t="s">
        <v>300</v>
      </c>
      <c r="D98" s="59" t="s">
        <v>186</v>
      </c>
      <c r="E98" s="59">
        <v>4188000.0</v>
      </c>
      <c r="F98" s="59" t="s">
        <v>46</v>
      </c>
      <c r="G98" s="59" t="s">
        <v>301</v>
      </c>
      <c r="H98" s="26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4.25" customHeight="1">
      <c r="A99" s="58">
        <v>46183.0</v>
      </c>
      <c r="B99" s="59" t="s">
        <v>275</v>
      </c>
      <c r="C99" s="59" t="s">
        <v>300</v>
      </c>
      <c r="D99" s="59" t="s">
        <v>186</v>
      </c>
      <c r="E99" s="59">
        <v>3000000.0</v>
      </c>
      <c r="F99" s="59" t="s">
        <v>34</v>
      </c>
      <c r="G99" s="59" t="s">
        <v>304</v>
      </c>
      <c r="H99" s="26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4.25" customHeight="1">
      <c r="A100" s="58">
        <v>46183.0</v>
      </c>
      <c r="B100" s="59" t="s">
        <v>270</v>
      </c>
      <c r="C100" s="59" t="s">
        <v>300</v>
      </c>
      <c r="D100" s="59" t="s">
        <v>186</v>
      </c>
      <c r="E100" s="59">
        <v>8400000.0</v>
      </c>
      <c r="F100" s="59" t="s">
        <v>34</v>
      </c>
      <c r="G100" s="59" t="s">
        <v>306</v>
      </c>
      <c r="H100" s="26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4.25" customHeight="1">
      <c r="A101" s="58">
        <v>46185.0</v>
      </c>
      <c r="B101" s="59" t="s">
        <v>275</v>
      </c>
      <c r="C101" s="59" t="s">
        <v>252</v>
      </c>
      <c r="D101" s="59" t="s">
        <v>282</v>
      </c>
      <c r="E101" s="59">
        <v>68000.0</v>
      </c>
      <c r="F101" s="59" t="s">
        <v>46</v>
      </c>
      <c r="G101" s="59" t="s">
        <v>309</v>
      </c>
      <c r="H101" s="26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4.25" customHeight="1">
      <c r="A102" s="58">
        <v>46185.0</v>
      </c>
      <c r="B102" s="59" t="s">
        <v>275</v>
      </c>
      <c r="C102" s="59" t="s">
        <v>252</v>
      </c>
      <c r="D102" s="59" t="s">
        <v>282</v>
      </c>
      <c r="E102" s="59">
        <v>103000.0</v>
      </c>
      <c r="F102" s="59" t="s">
        <v>46</v>
      </c>
      <c r="G102" s="59" t="s">
        <v>310</v>
      </c>
      <c r="H102" s="26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4.25" customHeight="1">
      <c r="A103" s="58">
        <v>46185.0</v>
      </c>
      <c r="B103" s="59" t="s">
        <v>275</v>
      </c>
      <c r="C103" s="59" t="s">
        <v>252</v>
      </c>
      <c r="D103" s="59" t="s">
        <v>282</v>
      </c>
      <c r="E103" s="59">
        <v>95000.0</v>
      </c>
      <c r="F103" s="59" t="s">
        <v>46</v>
      </c>
      <c r="G103" s="59" t="s">
        <v>313</v>
      </c>
      <c r="H103" s="26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4.25" customHeight="1">
      <c r="A104" s="58">
        <v>46185.0</v>
      </c>
      <c r="B104" s="59" t="s">
        <v>270</v>
      </c>
      <c r="C104" s="59" t="s">
        <v>252</v>
      </c>
      <c r="D104" s="59" t="s">
        <v>282</v>
      </c>
      <c r="E104" s="59">
        <v>120000.0</v>
      </c>
      <c r="F104" s="59" t="s">
        <v>46</v>
      </c>
      <c r="G104" s="59" t="s">
        <v>314</v>
      </c>
      <c r="H104" s="26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4.25" customHeight="1">
      <c r="A105" s="58">
        <v>46191.0</v>
      </c>
      <c r="B105" s="59" t="s">
        <v>316</v>
      </c>
      <c r="C105" s="59" t="s">
        <v>317</v>
      </c>
      <c r="D105" s="59" t="s">
        <v>186</v>
      </c>
      <c r="E105" s="59">
        <v>308000.0</v>
      </c>
      <c r="F105" s="59" t="s">
        <v>46</v>
      </c>
      <c r="G105" s="59" t="s">
        <v>318</v>
      </c>
      <c r="H105" s="26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4.25" customHeight="1">
      <c r="A106" s="58">
        <v>46194.0</v>
      </c>
      <c r="B106" s="59" t="s">
        <v>275</v>
      </c>
      <c r="C106" s="59" t="s">
        <v>290</v>
      </c>
      <c r="D106" s="59" t="s">
        <v>186</v>
      </c>
      <c r="E106" s="59">
        <v>90000.0</v>
      </c>
      <c r="F106" s="59" t="s">
        <v>46</v>
      </c>
      <c r="G106" s="59" t="s">
        <v>277</v>
      </c>
      <c r="H106" s="26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4.25" customHeight="1">
      <c r="A107" s="58">
        <v>46194.0</v>
      </c>
      <c r="B107" s="59" t="s">
        <v>275</v>
      </c>
      <c r="C107" s="59" t="s">
        <v>290</v>
      </c>
      <c r="D107" s="59" t="s">
        <v>186</v>
      </c>
      <c r="E107" s="59">
        <v>20000.0</v>
      </c>
      <c r="F107" s="59" t="s">
        <v>46</v>
      </c>
      <c r="G107" s="59" t="s">
        <v>281</v>
      </c>
      <c r="H107" s="26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4.25" customHeight="1">
      <c r="A108" s="58">
        <v>46201.0</v>
      </c>
      <c r="B108" s="59" t="s">
        <v>316</v>
      </c>
      <c r="C108" s="59" t="s">
        <v>252</v>
      </c>
      <c r="D108" s="59" t="s">
        <v>282</v>
      </c>
      <c r="E108" s="59">
        <v>1055000.0</v>
      </c>
      <c r="F108" s="59" t="s">
        <v>46</v>
      </c>
      <c r="G108" s="59" t="s">
        <v>323</v>
      </c>
      <c r="H108" s="26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4.25" customHeight="1">
      <c r="A109" s="58">
        <v>46201.0</v>
      </c>
      <c r="B109" s="59" t="s">
        <v>316</v>
      </c>
      <c r="C109" s="59" t="s">
        <v>252</v>
      </c>
      <c r="D109" s="59" t="s">
        <v>282</v>
      </c>
      <c r="E109" s="59">
        <v>81000.0</v>
      </c>
      <c r="F109" s="59" t="s">
        <v>46</v>
      </c>
      <c r="G109" s="59" t="s">
        <v>324</v>
      </c>
      <c r="H109" s="26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4.25" customHeight="1">
      <c r="A110" s="58">
        <v>46201.0</v>
      </c>
      <c r="B110" s="59" t="s">
        <v>316</v>
      </c>
      <c r="C110" s="59" t="s">
        <v>252</v>
      </c>
      <c r="D110" s="59" t="s">
        <v>282</v>
      </c>
      <c r="E110" s="59">
        <v>53000.0</v>
      </c>
      <c r="F110" s="59" t="s">
        <v>46</v>
      </c>
      <c r="G110" s="59" t="s">
        <v>326</v>
      </c>
      <c r="H110" s="26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4.25" customHeight="1">
      <c r="A111" s="58">
        <v>46201.0</v>
      </c>
      <c r="B111" s="59" t="s">
        <v>275</v>
      </c>
      <c r="C111" s="59" t="s">
        <v>290</v>
      </c>
      <c r="D111" s="59" t="s">
        <v>186</v>
      </c>
      <c r="E111" s="59">
        <v>50000.0</v>
      </c>
      <c r="F111" s="59" t="s">
        <v>46</v>
      </c>
      <c r="G111" s="59" t="s">
        <v>277</v>
      </c>
      <c r="H111" s="26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4.25" customHeight="1">
      <c r="A112" s="58">
        <v>46201.0</v>
      </c>
      <c r="B112" s="59" t="s">
        <v>270</v>
      </c>
      <c r="C112" s="59" t="s">
        <v>290</v>
      </c>
      <c r="D112" s="59" t="s">
        <v>186</v>
      </c>
      <c r="E112" s="59">
        <v>20000.0</v>
      </c>
      <c r="F112" s="59" t="s">
        <v>46</v>
      </c>
      <c r="G112" s="59" t="s">
        <v>329</v>
      </c>
      <c r="H112" s="26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4.25" customHeight="1">
      <c r="A113" s="58">
        <v>46203.0</v>
      </c>
      <c r="B113" s="59" t="s">
        <v>270</v>
      </c>
      <c r="C113" s="59" t="s">
        <v>251</v>
      </c>
      <c r="D113" s="59" t="s">
        <v>282</v>
      </c>
      <c r="E113" s="59">
        <v>601000.0</v>
      </c>
      <c r="F113" s="59" t="s">
        <v>46</v>
      </c>
      <c r="G113" s="59" t="s">
        <v>331</v>
      </c>
      <c r="H113" s="26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4.25" customHeight="1">
      <c r="A114" s="58">
        <v>46203.0</v>
      </c>
      <c r="B114" s="59" t="s">
        <v>316</v>
      </c>
      <c r="C114" s="59" t="s">
        <v>252</v>
      </c>
      <c r="D114" s="59" t="s">
        <v>282</v>
      </c>
      <c r="E114" s="59">
        <v>53000.0</v>
      </c>
      <c r="F114" s="59" t="s">
        <v>46</v>
      </c>
      <c r="G114" s="59" t="s">
        <v>326</v>
      </c>
      <c r="H114" s="26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4.25" customHeight="1">
      <c r="A115" s="58">
        <v>46203.0</v>
      </c>
      <c r="B115" s="59" t="s">
        <v>316</v>
      </c>
      <c r="C115" s="59" t="s">
        <v>252</v>
      </c>
      <c r="D115" s="59" t="s">
        <v>282</v>
      </c>
      <c r="E115" s="59">
        <v>48000.0</v>
      </c>
      <c r="F115" s="59" t="s">
        <v>46</v>
      </c>
      <c r="G115" s="59" t="s">
        <v>334</v>
      </c>
      <c r="H115" s="26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4.25" customHeight="1">
      <c r="A116" s="58">
        <v>46203.0</v>
      </c>
      <c r="B116" s="59" t="s">
        <v>316</v>
      </c>
      <c r="C116" s="59" t="s">
        <v>252</v>
      </c>
      <c r="D116" s="59" t="s">
        <v>282</v>
      </c>
      <c r="E116" s="59">
        <v>69000.0</v>
      </c>
      <c r="F116" s="59" t="s">
        <v>46</v>
      </c>
      <c r="G116" s="59" t="s">
        <v>336</v>
      </c>
      <c r="H116" s="26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4.25" customHeight="1">
      <c r="A117" s="58">
        <v>46203.0</v>
      </c>
      <c r="B117" s="59" t="s">
        <v>338</v>
      </c>
      <c r="C117" s="59" t="s">
        <v>195</v>
      </c>
      <c r="D117" s="59" t="s">
        <v>196</v>
      </c>
      <c r="E117" s="59">
        <v>3200000.0</v>
      </c>
      <c r="F117" s="59" t="s">
        <v>34</v>
      </c>
      <c r="G117" s="59" t="s">
        <v>339</v>
      </c>
      <c r="H117" s="26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4.25" customHeight="1">
      <c r="A118" s="58">
        <v>46203.0</v>
      </c>
      <c r="B118" s="59" t="s">
        <v>338</v>
      </c>
      <c r="C118" s="59" t="s">
        <v>341</v>
      </c>
      <c r="D118" s="59" t="s">
        <v>282</v>
      </c>
      <c r="E118" s="59">
        <v>1236000.0</v>
      </c>
      <c r="F118" s="59" t="s">
        <v>34</v>
      </c>
      <c r="G118" s="59" t="s">
        <v>342</v>
      </c>
      <c r="H118" s="26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ht="14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ht="14.2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</sheetData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5.0"/>
    <col customWidth="1" min="3" max="6" width="4.57"/>
    <col customWidth="1" min="7" max="7" width="4.14"/>
    <col customWidth="1" min="8" max="8" width="4.86"/>
    <col customWidth="1" min="9" max="10" width="4.57"/>
    <col customWidth="1" min="11" max="11" width="4.14"/>
    <col customWidth="1" min="12" max="12" width="4.57"/>
    <col customWidth="1" min="13" max="13" width="3.29"/>
    <col customWidth="1" min="14" max="14" width="4.57"/>
    <col customWidth="1" min="15" max="15" width="4.29"/>
    <col customWidth="1" min="16" max="16" width="4.57"/>
    <col customWidth="1" min="17" max="17" width="4.43"/>
    <col customWidth="1" min="18" max="18" width="4.71"/>
    <col customWidth="1" min="19" max="19" width="4.57"/>
    <col customWidth="1" min="20" max="20" width="5.14"/>
    <col customWidth="1" min="21" max="21" width="5.71"/>
    <col customWidth="1" min="22" max="22" width="5.86"/>
    <col customWidth="1" min="23" max="23" width="5.29"/>
    <col customWidth="1" min="24" max="24" width="4.29"/>
    <col customWidth="1" min="25" max="26" width="5.0"/>
    <col customWidth="1" min="27" max="27" width="5.14"/>
    <col customWidth="1" min="28" max="28" width="5.29"/>
    <col customWidth="1" min="29" max="29" width="5.14"/>
    <col customWidth="1" min="30" max="31" width="5.0"/>
    <col customWidth="1" min="32" max="32" width="10.29"/>
    <col customWidth="1" min="33" max="33" width="6.86"/>
  </cols>
  <sheetData>
    <row r="1" ht="27.0" customHeight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5" t="s">
        <v>8</v>
      </c>
      <c r="AG1" s="7"/>
      <c r="AH1" s="9"/>
      <c r="AI1" s="9"/>
      <c r="AJ1" s="9"/>
      <c r="AK1" s="9"/>
      <c r="AL1" s="9"/>
      <c r="AM1" s="9"/>
      <c r="AN1" s="9"/>
      <c r="AO1" s="9"/>
    </row>
    <row r="2" ht="21.0" customHeight="1">
      <c r="A2" s="11" t="s">
        <v>9</v>
      </c>
      <c r="B2" s="14"/>
      <c r="C2" s="16"/>
      <c r="D2" s="16"/>
      <c r="E2" s="14">
        <v>1.0</v>
      </c>
      <c r="F2" s="14">
        <v>1.0</v>
      </c>
      <c r="G2" s="14">
        <v>1.0</v>
      </c>
      <c r="H2" s="14">
        <v>1.0</v>
      </c>
      <c r="I2" s="14">
        <v>1.0</v>
      </c>
      <c r="J2" s="14">
        <v>1.0</v>
      </c>
      <c r="K2" s="14">
        <v>1.0</v>
      </c>
      <c r="L2" s="14">
        <v>1.0</v>
      </c>
      <c r="M2" s="18">
        <v>1.0</v>
      </c>
      <c r="N2" s="14">
        <v>1.0</v>
      </c>
      <c r="O2" s="14">
        <v>1.0</v>
      </c>
      <c r="P2" s="16"/>
      <c r="Q2" s="18">
        <v>1.0</v>
      </c>
      <c r="R2" s="14">
        <v>1.0</v>
      </c>
      <c r="S2" s="14">
        <v>1.0</v>
      </c>
      <c r="T2" s="16"/>
      <c r="U2" s="23"/>
      <c r="V2" s="18">
        <v>1.0</v>
      </c>
      <c r="W2" s="18">
        <v>1.0</v>
      </c>
      <c r="X2" s="18">
        <v>1.0</v>
      </c>
      <c r="Y2" s="14"/>
      <c r="Z2" s="14">
        <v>1.0</v>
      </c>
      <c r="AA2" s="14">
        <v>1.0</v>
      </c>
      <c r="AB2" s="14">
        <v>1.0</v>
      </c>
      <c r="AC2" s="14">
        <v>1.0</v>
      </c>
      <c r="AD2" s="14">
        <v>1.0</v>
      </c>
      <c r="AE2" s="16"/>
      <c r="AF2" s="31">
        <f t="shared" ref="AF2:AF3" si="1">SUM(B2:AE2)</f>
        <v>22</v>
      </c>
      <c r="AG2" s="32"/>
    </row>
    <row r="3" ht="21.0" customHeight="1">
      <c r="A3" s="11" t="s">
        <v>51</v>
      </c>
      <c r="B3" s="23"/>
      <c r="C3" s="23"/>
      <c r="D3" s="18">
        <v>1.0</v>
      </c>
      <c r="E3" s="18">
        <v>1.0</v>
      </c>
      <c r="F3" s="18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18">
        <v>1.0</v>
      </c>
      <c r="V3" s="23"/>
      <c r="W3" s="23"/>
      <c r="X3" s="18">
        <v>1.0</v>
      </c>
      <c r="Y3" s="18">
        <v>1.0</v>
      </c>
      <c r="Z3" s="23"/>
      <c r="AA3" s="18">
        <v>1.0</v>
      </c>
      <c r="AB3" s="18">
        <v>1.0</v>
      </c>
      <c r="AC3" s="18">
        <v>1.0</v>
      </c>
      <c r="AD3" s="18">
        <v>1.0</v>
      </c>
      <c r="AE3" s="23"/>
      <c r="AF3" s="31">
        <f t="shared" si="1"/>
        <v>9</v>
      </c>
      <c r="AG3" s="32"/>
    </row>
    <row r="5">
      <c r="A5" s="39" t="s">
        <v>63</v>
      </c>
    </row>
    <row r="6">
      <c r="A6" s="40" t="s">
        <v>9</v>
      </c>
      <c r="B6" s="16"/>
      <c r="C6" s="23"/>
      <c r="D6" s="18">
        <v>1.0</v>
      </c>
      <c r="E6" s="23"/>
      <c r="F6" s="23"/>
      <c r="G6" s="18">
        <v>1.0</v>
      </c>
      <c r="H6" s="23"/>
      <c r="I6" s="23"/>
      <c r="J6" s="18">
        <v>1.0</v>
      </c>
      <c r="K6" s="23"/>
      <c r="L6" s="23"/>
      <c r="M6" s="18">
        <v>1.0</v>
      </c>
      <c r="N6" s="18">
        <v>1.0</v>
      </c>
      <c r="O6" s="23"/>
      <c r="P6" s="18">
        <v>1.0</v>
      </c>
      <c r="Q6" s="23"/>
      <c r="R6" s="23"/>
      <c r="S6" s="23"/>
      <c r="T6" s="18">
        <v>1.0</v>
      </c>
      <c r="U6" s="23"/>
      <c r="V6" s="23"/>
      <c r="W6" s="23"/>
      <c r="X6" s="18">
        <v>1.0</v>
      </c>
      <c r="Y6" s="18">
        <v>1.0</v>
      </c>
      <c r="Z6" s="23"/>
      <c r="AA6" s="18">
        <v>1.0</v>
      </c>
      <c r="AB6" s="18">
        <v>1.0</v>
      </c>
      <c r="AC6" s="23"/>
      <c r="AD6" s="18">
        <v>1.0</v>
      </c>
      <c r="AE6" s="18">
        <v>1.0</v>
      </c>
      <c r="AF6" s="31">
        <f t="shared" ref="AF6:AF7" si="2">SUM(B6:AE6)</f>
        <v>13</v>
      </c>
    </row>
    <row r="7">
      <c r="A7" s="40" t="s">
        <v>51</v>
      </c>
      <c r="B7" s="18">
        <v>1.0</v>
      </c>
      <c r="C7" s="23"/>
      <c r="D7" s="18">
        <v>1.0</v>
      </c>
      <c r="E7" s="23"/>
      <c r="F7" s="18">
        <v>1.0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18">
        <v>1.0</v>
      </c>
      <c r="W7" s="23"/>
      <c r="X7" s="23"/>
      <c r="Y7" s="23"/>
      <c r="Z7" s="18">
        <v>1.0</v>
      </c>
      <c r="AA7" s="23"/>
      <c r="AB7" s="23"/>
      <c r="AC7" s="23"/>
      <c r="AD7" s="18">
        <v>1.0</v>
      </c>
      <c r="AE7" s="18">
        <v>1.0</v>
      </c>
      <c r="AF7" s="31">
        <f t="shared" si="2"/>
        <v>7</v>
      </c>
    </row>
    <row r="12">
      <c r="A12" s="1" t="s">
        <v>88</v>
      </c>
      <c r="B12" s="1">
        <v>1.0</v>
      </c>
      <c r="C12" s="1">
        <v>2.0</v>
      </c>
      <c r="D12" s="1">
        <v>3.0</v>
      </c>
      <c r="E12" s="1">
        <v>4.0</v>
      </c>
      <c r="F12" s="1">
        <v>5.0</v>
      </c>
      <c r="G12" s="1">
        <v>6.0</v>
      </c>
      <c r="H12" s="1">
        <v>7.0</v>
      </c>
      <c r="I12" s="1">
        <v>8.0</v>
      </c>
      <c r="J12" s="1">
        <v>9.0</v>
      </c>
      <c r="K12" s="1">
        <v>10.0</v>
      </c>
      <c r="L12" s="1">
        <v>11.0</v>
      </c>
      <c r="M12" s="1">
        <v>12.0</v>
      </c>
      <c r="N12" s="1">
        <v>13.0</v>
      </c>
      <c r="O12" s="1">
        <v>14.0</v>
      </c>
      <c r="P12" s="1">
        <v>15.0</v>
      </c>
      <c r="Q12" s="1">
        <v>16.0</v>
      </c>
      <c r="R12" s="1">
        <v>17.0</v>
      </c>
      <c r="S12" s="1">
        <v>18.0</v>
      </c>
      <c r="T12" s="1">
        <v>19.0</v>
      </c>
      <c r="U12" s="1">
        <v>20.0</v>
      </c>
      <c r="V12" s="1">
        <v>21.0</v>
      </c>
      <c r="W12" s="1">
        <v>22.0</v>
      </c>
      <c r="X12" s="1">
        <v>23.0</v>
      </c>
      <c r="Y12" s="1">
        <v>24.0</v>
      </c>
      <c r="Z12" s="1">
        <v>25.0</v>
      </c>
      <c r="AA12" s="1">
        <v>26.0</v>
      </c>
      <c r="AB12" s="1">
        <v>27.0</v>
      </c>
      <c r="AC12" s="1">
        <v>28.0</v>
      </c>
      <c r="AD12" s="1">
        <v>29.0</v>
      </c>
      <c r="AE12" s="1">
        <v>30.0</v>
      </c>
      <c r="AF12" s="5" t="s">
        <v>8</v>
      </c>
    </row>
    <row r="13">
      <c r="A13" s="11" t="s">
        <v>9</v>
      </c>
      <c r="B13" s="14"/>
      <c r="C13" s="16"/>
      <c r="D13" s="16"/>
      <c r="E13" s="16"/>
      <c r="F13" s="16"/>
      <c r="G13" s="14">
        <v>1.0</v>
      </c>
      <c r="H13" s="14">
        <v>1.0</v>
      </c>
      <c r="I13" s="14">
        <v>1.0</v>
      </c>
      <c r="J13" s="14">
        <v>1.0</v>
      </c>
      <c r="K13" s="14">
        <v>1.0</v>
      </c>
      <c r="L13" s="14">
        <v>1.0</v>
      </c>
      <c r="M13" s="14">
        <v>1.0</v>
      </c>
      <c r="N13" s="14">
        <v>1.0</v>
      </c>
      <c r="O13" s="14">
        <v>1.0</v>
      </c>
      <c r="P13" s="14">
        <v>1.0</v>
      </c>
      <c r="Q13" s="14">
        <v>1.0</v>
      </c>
      <c r="R13" s="14">
        <v>1.0</v>
      </c>
      <c r="S13" s="14"/>
      <c r="T13" s="16"/>
      <c r="U13" s="16"/>
      <c r="V13" s="14">
        <v>1.0</v>
      </c>
      <c r="W13" s="14">
        <v>1.0</v>
      </c>
      <c r="X13" s="14">
        <v>1.0</v>
      </c>
      <c r="Y13" s="14">
        <v>1.0</v>
      </c>
      <c r="Z13" s="14">
        <v>1.0</v>
      </c>
      <c r="AA13" s="16"/>
      <c r="AB13" s="16"/>
      <c r="AC13" s="14">
        <v>1.0</v>
      </c>
      <c r="AD13" s="14">
        <v>1.0</v>
      </c>
      <c r="AE13" s="14">
        <v>1.0</v>
      </c>
      <c r="AF13" s="31">
        <f t="shared" ref="AF13:AF14" si="3">SUM(B13:AE13)</f>
        <v>20</v>
      </c>
    </row>
    <row r="14">
      <c r="A14" s="11" t="s">
        <v>51</v>
      </c>
      <c r="B14" s="18">
        <v>1.0</v>
      </c>
      <c r="C14" s="18">
        <v>1.0</v>
      </c>
      <c r="D14" s="18">
        <v>1.0</v>
      </c>
      <c r="E14" s="18">
        <v>1.0</v>
      </c>
      <c r="F14" s="18">
        <v>1.0</v>
      </c>
      <c r="G14" s="18">
        <v>1.0</v>
      </c>
      <c r="H14" s="18">
        <v>1.0</v>
      </c>
      <c r="I14" s="23"/>
      <c r="J14" s="18">
        <v>1.0</v>
      </c>
      <c r="K14" s="18">
        <v>1.0</v>
      </c>
      <c r="L14" s="18">
        <v>1.0</v>
      </c>
      <c r="M14" s="18">
        <v>1.0</v>
      </c>
      <c r="N14" s="18">
        <v>1.0</v>
      </c>
      <c r="O14" s="18">
        <v>1.0</v>
      </c>
      <c r="P14" s="23"/>
      <c r="Q14" s="18">
        <v>1.0</v>
      </c>
      <c r="R14" s="18">
        <v>1.0</v>
      </c>
      <c r="S14" s="18">
        <v>1.0</v>
      </c>
      <c r="T14" s="18">
        <v>1.0</v>
      </c>
      <c r="U14" s="18">
        <v>1.0</v>
      </c>
      <c r="V14" s="18">
        <v>1.0</v>
      </c>
      <c r="W14" s="18">
        <v>1.0</v>
      </c>
      <c r="X14" s="18">
        <v>1.0</v>
      </c>
      <c r="Y14" s="18">
        <v>1.0</v>
      </c>
      <c r="Z14" s="18">
        <v>1.0</v>
      </c>
      <c r="AA14" s="18">
        <v>1.0</v>
      </c>
      <c r="AB14" s="18">
        <v>1.0</v>
      </c>
      <c r="AC14" s="18">
        <v>1.0</v>
      </c>
      <c r="AD14" s="18">
        <v>1.0</v>
      </c>
      <c r="AE14" s="18">
        <v>1.0</v>
      </c>
      <c r="AF14" s="31">
        <f t="shared" si="3"/>
        <v>28</v>
      </c>
    </row>
    <row r="16">
      <c r="A16" s="39" t="s">
        <v>63</v>
      </c>
    </row>
    <row r="17">
      <c r="A17" s="40" t="s">
        <v>9</v>
      </c>
      <c r="B17" s="16"/>
      <c r="C17" s="23"/>
      <c r="D17" s="23"/>
      <c r="E17" s="23"/>
      <c r="F17" s="23"/>
      <c r="G17" s="23"/>
      <c r="H17" s="23"/>
      <c r="I17" s="18">
        <v>1.0</v>
      </c>
      <c r="J17" s="23"/>
      <c r="K17" s="18">
        <v>1.0</v>
      </c>
      <c r="L17" s="23"/>
      <c r="M17" s="23"/>
      <c r="N17" s="23"/>
      <c r="O17" s="23"/>
      <c r="P17" s="23"/>
      <c r="Q17" s="23"/>
      <c r="R17" s="23"/>
      <c r="S17" s="18">
        <v>1.0</v>
      </c>
      <c r="T17" s="23"/>
      <c r="U17" s="23"/>
      <c r="V17" s="23"/>
      <c r="W17" s="23"/>
      <c r="X17" s="23"/>
      <c r="Y17" s="23"/>
      <c r="Z17" s="18">
        <v>1.0</v>
      </c>
      <c r="AA17" s="18">
        <v>1.0</v>
      </c>
      <c r="AB17" s="23"/>
      <c r="AC17" s="23"/>
      <c r="AD17" s="23"/>
      <c r="AE17" s="18">
        <v>1.0</v>
      </c>
      <c r="AF17" s="31">
        <f t="shared" ref="AF17:AF18" si="4">SUM(B17:AE17)</f>
        <v>6</v>
      </c>
    </row>
    <row r="18">
      <c r="A18" s="40" t="s">
        <v>51</v>
      </c>
      <c r="B18" s="18">
        <v>1.0</v>
      </c>
      <c r="C18" s="23"/>
      <c r="D18" s="18">
        <v>1.0</v>
      </c>
      <c r="E18" s="23"/>
      <c r="F18" s="18">
        <v>1.0</v>
      </c>
      <c r="G18" s="23"/>
      <c r="H18" s="18">
        <v>1.0</v>
      </c>
      <c r="I18" s="18">
        <v>1.0</v>
      </c>
      <c r="J18" s="23"/>
      <c r="K18" s="18">
        <v>1.0</v>
      </c>
      <c r="L18" s="23"/>
      <c r="M18" s="23"/>
      <c r="N18" s="18">
        <v>1.0</v>
      </c>
      <c r="O18" s="23"/>
      <c r="P18" s="18">
        <v>1.0</v>
      </c>
      <c r="Q18" s="23"/>
      <c r="R18" s="18">
        <v>1.0</v>
      </c>
      <c r="S18" s="18">
        <v>1.0</v>
      </c>
      <c r="T18" s="18">
        <v>1.0</v>
      </c>
      <c r="U18" s="18">
        <v>1.0</v>
      </c>
      <c r="V18" s="18">
        <v>1.0</v>
      </c>
      <c r="W18" s="18">
        <v>1.0</v>
      </c>
      <c r="X18" s="18">
        <v>1.0</v>
      </c>
      <c r="Y18" s="18">
        <v>1.0</v>
      </c>
      <c r="Z18" s="18">
        <v>1.0</v>
      </c>
      <c r="AA18" s="23"/>
      <c r="AB18" s="18">
        <v>1.0</v>
      </c>
      <c r="AC18" s="23"/>
      <c r="AD18" s="18">
        <v>1.0</v>
      </c>
      <c r="AE18" s="18">
        <v>2.0</v>
      </c>
      <c r="AF18" s="31">
        <f t="shared" si="4"/>
        <v>21</v>
      </c>
    </row>
    <row r="21">
      <c r="A21" s="1" t="s">
        <v>117</v>
      </c>
      <c r="B21" s="1">
        <v>1.0</v>
      </c>
      <c r="C21" s="1">
        <v>2.0</v>
      </c>
      <c r="D21" s="1">
        <v>3.0</v>
      </c>
      <c r="E21" s="1">
        <v>4.0</v>
      </c>
      <c r="F21" s="1">
        <v>5.0</v>
      </c>
      <c r="G21" s="1">
        <v>6.0</v>
      </c>
      <c r="H21" s="1">
        <v>7.0</v>
      </c>
      <c r="I21" s="1">
        <v>8.0</v>
      </c>
      <c r="J21" s="1">
        <v>9.0</v>
      </c>
      <c r="K21" s="1">
        <v>10.0</v>
      </c>
      <c r="L21" s="1">
        <v>11.0</v>
      </c>
      <c r="M21" s="1">
        <v>12.0</v>
      </c>
      <c r="N21" s="1">
        <v>13.0</v>
      </c>
      <c r="O21" s="1">
        <v>14.0</v>
      </c>
      <c r="P21" s="1">
        <v>15.0</v>
      </c>
      <c r="Q21" s="1">
        <v>16.0</v>
      </c>
      <c r="R21" s="1">
        <v>17.0</v>
      </c>
      <c r="S21" s="1">
        <v>18.0</v>
      </c>
      <c r="T21" s="1">
        <v>19.0</v>
      </c>
      <c r="U21" s="1">
        <v>20.0</v>
      </c>
      <c r="V21" s="1">
        <v>21.0</v>
      </c>
      <c r="W21" s="1">
        <v>22.0</v>
      </c>
      <c r="X21" s="1">
        <v>23.0</v>
      </c>
      <c r="Y21" s="1">
        <v>24.0</v>
      </c>
      <c r="Z21" s="1">
        <v>25.0</v>
      </c>
      <c r="AA21" s="1">
        <v>26.0</v>
      </c>
      <c r="AB21" s="1">
        <v>27.0</v>
      </c>
      <c r="AC21" s="1">
        <v>28.0</v>
      </c>
      <c r="AD21" s="1">
        <v>29.0</v>
      </c>
      <c r="AE21" s="1">
        <v>30.0</v>
      </c>
      <c r="AF21" s="5" t="s">
        <v>8</v>
      </c>
    </row>
    <row r="22">
      <c r="A22" s="11" t="s">
        <v>9</v>
      </c>
      <c r="B22" s="14">
        <v>3.0</v>
      </c>
      <c r="C22" s="16"/>
      <c r="D22" s="16"/>
      <c r="E22" s="14">
        <v>1.0</v>
      </c>
      <c r="F22" s="16"/>
      <c r="G22" s="14"/>
      <c r="H22" s="14">
        <v>2.0</v>
      </c>
      <c r="I22" s="14"/>
      <c r="J22" s="14"/>
      <c r="K22" s="14"/>
      <c r="L22" s="14"/>
      <c r="M22" s="14"/>
      <c r="N22" s="14">
        <v>14.0</v>
      </c>
      <c r="O22" s="14"/>
      <c r="P22" s="14"/>
      <c r="Q22" s="14"/>
      <c r="R22" s="14"/>
      <c r="S22" s="14"/>
      <c r="T22" s="16"/>
      <c r="U22" s="16"/>
      <c r="V22" s="14"/>
      <c r="W22" s="14"/>
      <c r="X22" s="14"/>
      <c r="Y22" s="14"/>
      <c r="Z22" s="14"/>
      <c r="AA22" s="16"/>
      <c r="AB22" s="16"/>
      <c r="AC22" s="14">
        <v>3.0</v>
      </c>
      <c r="AD22" s="14"/>
      <c r="AE22" s="14"/>
      <c r="AF22" s="31">
        <f t="shared" ref="AF22:AF23" si="5">SUM(B22:AE22)</f>
        <v>23</v>
      </c>
    </row>
    <row r="23">
      <c r="A23" s="11" t="s">
        <v>51</v>
      </c>
      <c r="B23" s="18"/>
      <c r="C23" s="18"/>
      <c r="D23" s="18"/>
      <c r="E23" s="18">
        <v>1.0</v>
      </c>
      <c r="F23" s="18">
        <v>1.0</v>
      </c>
      <c r="G23" s="18">
        <v>1.0</v>
      </c>
      <c r="H23" s="18"/>
      <c r="I23" s="23"/>
      <c r="J23" s="18"/>
      <c r="K23" s="18"/>
      <c r="L23" s="18">
        <v>1.0</v>
      </c>
      <c r="M23" s="18">
        <v>1.0</v>
      </c>
      <c r="N23" s="18">
        <v>1.0</v>
      </c>
      <c r="O23" s="18">
        <v>1.0</v>
      </c>
      <c r="P23" s="18">
        <v>3.0</v>
      </c>
      <c r="Q23" s="18"/>
      <c r="R23" s="18"/>
      <c r="S23" s="18">
        <v>3.0</v>
      </c>
      <c r="T23" s="18"/>
      <c r="U23" s="18"/>
      <c r="V23" s="18">
        <v>2.0</v>
      </c>
      <c r="W23" s="18"/>
      <c r="X23" s="18"/>
      <c r="Y23" s="18">
        <v>2.0</v>
      </c>
      <c r="Z23" s="18"/>
      <c r="AA23" s="18">
        <v>3.0</v>
      </c>
      <c r="AB23" s="18"/>
      <c r="AC23" s="18"/>
      <c r="AD23" s="18"/>
      <c r="AE23" s="18"/>
      <c r="AF23" s="31">
        <f t="shared" si="5"/>
        <v>20</v>
      </c>
    </row>
    <row r="25">
      <c r="A25" s="39" t="s">
        <v>63</v>
      </c>
    </row>
    <row r="26">
      <c r="A26" s="40" t="s">
        <v>9</v>
      </c>
      <c r="B26" s="14"/>
      <c r="C26" s="23"/>
      <c r="D26" s="23"/>
      <c r="E26" s="18">
        <v>1.0</v>
      </c>
      <c r="F26" s="18">
        <v>1.0</v>
      </c>
      <c r="G26" s="23"/>
      <c r="H26" s="23"/>
      <c r="I26" s="18"/>
      <c r="J26" s="18">
        <v>1.0</v>
      </c>
      <c r="K26" s="18"/>
      <c r="L26" s="23"/>
      <c r="M26" s="23"/>
      <c r="N26" s="18">
        <v>1.0</v>
      </c>
      <c r="O26" s="23"/>
      <c r="P26" s="23"/>
      <c r="Q26" s="23"/>
      <c r="R26" s="23"/>
      <c r="S26" s="18"/>
      <c r="T26" s="23"/>
      <c r="U26" s="23"/>
      <c r="V26" s="23"/>
      <c r="W26" s="23"/>
      <c r="X26" s="23"/>
      <c r="Y26" s="23"/>
      <c r="Z26" s="18"/>
      <c r="AA26" s="18"/>
      <c r="AB26" s="18">
        <v>1.0</v>
      </c>
      <c r="AC26" s="23"/>
      <c r="AD26" s="23"/>
      <c r="AE26" s="18"/>
      <c r="AF26" s="31">
        <f t="shared" ref="AF26:AF27" si="6">SUM(B26:AE26)</f>
        <v>5</v>
      </c>
    </row>
    <row r="27">
      <c r="A27" s="40" t="s">
        <v>51</v>
      </c>
      <c r="B27" s="18"/>
      <c r="C27" s="23"/>
      <c r="D27" s="18"/>
      <c r="E27" s="23"/>
      <c r="F27" s="18">
        <v>1.0</v>
      </c>
      <c r="G27" s="18"/>
      <c r="H27" s="18">
        <v>1.0</v>
      </c>
      <c r="I27" s="18"/>
      <c r="J27" s="18">
        <v>1.0</v>
      </c>
      <c r="K27" s="18"/>
      <c r="L27" s="23"/>
      <c r="M27" s="18">
        <v>1.0</v>
      </c>
      <c r="N27" s="18">
        <v>1.0</v>
      </c>
      <c r="O27" s="18"/>
      <c r="P27" s="18">
        <v>1.0</v>
      </c>
      <c r="Q27" s="23"/>
      <c r="R27" s="18"/>
      <c r="S27" s="18">
        <v>1.0</v>
      </c>
      <c r="T27" s="18"/>
      <c r="U27" s="18"/>
      <c r="V27" s="18">
        <v>1.0</v>
      </c>
      <c r="W27" s="18"/>
      <c r="X27" s="18"/>
      <c r="Y27" s="18">
        <v>1.0</v>
      </c>
      <c r="Z27" s="18"/>
      <c r="AA27" s="18">
        <v>1.0</v>
      </c>
      <c r="AB27" s="18"/>
      <c r="AC27" s="23"/>
      <c r="AD27" s="18">
        <v>1.0</v>
      </c>
      <c r="AE27" s="18"/>
      <c r="AF27" s="31">
        <f t="shared" si="6"/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86"/>
    <col customWidth="1" min="3" max="3" width="15.71"/>
    <col customWidth="1" min="4" max="4" width="18.71"/>
    <col customWidth="1" min="5" max="5" width="19.29"/>
    <col customWidth="1" min="6" max="6" width="20.29"/>
    <col customWidth="1" min="7" max="7" width="15.86"/>
    <col customWidth="1" min="8" max="8" width="10.14"/>
    <col customWidth="1" min="9" max="9" width="27.29"/>
    <col customWidth="1" min="10" max="26" width="8.86"/>
  </cols>
  <sheetData>
    <row r="1" ht="14.25" customHeight="1">
      <c r="A1" s="12" t="s">
        <v>10</v>
      </c>
      <c r="B1" s="12" t="s">
        <v>11</v>
      </c>
      <c r="C1" s="12" t="s">
        <v>12</v>
      </c>
      <c r="D1" s="12" t="s">
        <v>15</v>
      </c>
      <c r="E1" s="12" t="s">
        <v>17</v>
      </c>
      <c r="F1" s="12" t="s">
        <v>3</v>
      </c>
      <c r="G1" s="12" t="s">
        <v>20</v>
      </c>
      <c r="H1" s="12" t="s">
        <v>22</v>
      </c>
      <c r="I1" s="12" t="s">
        <v>23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22"/>
      <c r="B2" s="24"/>
      <c r="C2" s="28"/>
      <c r="D2" s="29"/>
      <c r="E2" s="29"/>
      <c r="F2" s="22"/>
      <c r="G2" s="30"/>
      <c r="H2" s="22"/>
      <c r="I2" s="22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33"/>
      <c r="B3" s="34"/>
      <c r="C3" s="35"/>
      <c r="D3" s="36"/>
      <c r="E3" s="36"/>
      <c r="F3" s="33"/>
      <c r="G3" s="37"/>
      <c r="H3" s="33"/>
      <c r="I3" s="3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33"/>
      <c r="B4" s="34"/>
      <c r="C4" s="35"/>
      <c r="D4" s="36"/>
      <c r="E4" s="36"/>
      <c r="F4" s="33"/>
      <c r="G4" s="37"/>
      <c r="H4" s="33"/>
      <c r="I4" s="3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33"/>
      <c r="B5" s="34"/>
      <c r="C5" s="35"/>
      <c r="D5" s="36"/>
      <c r="E5" s="36"/>
      <c r="F5" s="33"/>
      <c r="G5" s="37"/>
      <c r="H5" s="33"/>
      <c r="I5" s="3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71"/>
    <col customWidth="1" min="3" max="3" width="33.0"/>
    <col customWidth="1" min="4" max="4" width="19.29"/>
    <col customWidth="1" min="5" max="5" width="22.86"/>
    <col customWidth="1" min="6" max="6" width="14.57"/>
    <col customWidth="1" min="7" max="7" width="21.43"/>
    <col customWidth="1" min="8" max="8" width="13.43"/>
    <col customWidth="1" min="9" max="26" width="9.0"/>
  </cols>
  <sheetData>
    <row r="1" ht="14.25" customHeight="1">
      <c r="A1" s="70" t="s">
        <v>1</v>
      </c>
      <c r="B1" s="70" t="s">
        <v>14</v>
      </c>
      <c r="C1" s="70" t="s">
        <v>292</v>
      </c>
      <c r="D1" s="70" t="s">
        <v>293</v>
      </c>
      <c r="E1" s="70" t="s">
        <v>294</v>
      </c>
      <c r="F1" s="70" t="s">
        <v>295</v>
      </c>
      <c r="G1" s="70" t="s">
        <v>296</v>
      </c>
      <c r="H1" s="70" t="s">
        <v>298</v>
      </c>
    </row>
    <row r="2" ht="14.25" customHeight="1">
      <c r="A2" s="71">
        <v>46026.0</v>
      </c>
      <c r="B2" s="72" t="s">
        <v>30</v>
      </c>
      <c r="C2" s="72" t="s">
        <v>21</v>
      </c>
      <c r="D2" s="72">
        <v>1.0</v>
      </c>
      <c r="E2" s="72">
        <v>27.54</v>
      </c>
      <c r="F2" s="72">
        <v>0.0</v>
      </c>
      <c r="G2" s="72">
        <v>4.13</v>
      </c>
      <c r="H2" s="72">
        <v>23.41</v>
      </c>
    </row>
    <row r="3" ht="14.25" customHeight="1">
      <c r="A3" s="71">
        <v>46048.0</v>
      </c>
      <c r="B3" s="72" t="s">
        <v>30</v>
      </c>
      <c r="C3" s="72" t="s">
        <v>38</v>
      </c>
      <c r="D3" s="72">
        <v>4.0</v>
      </c>
      <c r="E3" s="72">
        <v>93.12</v>
      </c>
      <c r="F3" s="72">
        <v>0.0</v>
      </c>
      <c r="G3" s="72">
        <v>15.0</v>
      </c>
      <c r="H3" s="72">
        <v>78.12</v>
      </c>
    </row>
    <row r="4" ht="14.25" customHeight="1">
      <c r="A4" s="73">
        <v>46053.0</v>
      </c>
      <c r="B4" s="72" t="s">
        <v>30</v>
      </c>
      <c r="C4" s="72" t="s">
        <v>21</v>
      </c>
      <c r="D4" s="72">
        <v>2.0</v>
      </c>
      <c r="E4" s="72">
        <v>65.02</v>
      </c>
      <c r="F4" s="72">
        <v>0.0</v>
      </c>
      <c r="G4" s="72">
        <v>9.75</v>
      </c>
      <c r="H4" s="72">
        <v>55.27</v>
      </c>
      <c r="J4" s="74"/>
    </row>
    <row r="5" ht="14.25" customHeight="1">
      <c r="A5" s="73">
        <v>46058.0</v>
      </c>
      <c r="B5" s="72" t="s">
        <v>30</v>
      </c>
      <c r="C5" s="72" t="s">
        <v>38</v>
      </c>
      <c r="D5" s="72">
        <v>3.0</v>
      </c>
      <c r="E5" s="72">
        <v>116.4</v>
      </c>
      <c r="F5" s="72">
        <v>0.0</v>
      </c>
      <c r="G5" s="72">
        <v>15.0</v>
      </c>
      <c r="H5" s="72">
        <v>101.4</v>
      </c>
    </row>
    <row r="6" ht="14.25" customHeight="1">
      <c r="A6" s="71">
        <v>46076.0</v>
      </c>
      <c r="B6" s="72" t="s">
        <v>30</v>
      </c>
      <c r="C6" s="72" t="s">
        <v>21</v>
      </c>
      <c r="D6" s="72">
        <v>2.0</v>
      </c>
      <c r="E6" s="72">
        <v>89.54</v>
      </c>
      <c r="F6" s="72">
        <v>0.0</v>
      </c>
      <c r="G6" s="72">
        <v>13.43</v>
      </c>
      <c r="H6" s="72">
        <v>76.11</v>
      </c>
    </row>
    <row r="7" ht="14.25" customHeight="1">
      <c r="A7" s="71">
        <v>46079.0</v>
      </c>
      <c r="B7" s="72" t="s">
        <v>30</v>
      </c>
      <c r="C7" s="72" t="s">
        <v>21</v>
      </c>
      <c r="D7" s="72">
        <v>5.0</v>
      </c>
      <c r="E7" s="72">
        <v>244.71</v>
      </c>
      <c r="F7" s="72">
        <v>0.0</v>
      </c>
      <c r="G7" s="72">
        <v>36.71</v>
      </c>
      <c r="H7" s="72">
        <v>208.0</v>
      </c>
      <c r="J7" s="74"/>
    </row>
    <row r="8" ht="14.25" customHeight="1">
      <c r="A8" s="71">
        <v>46091.0</v>
      </c>
      <c r="B8" s="72" t="s">
        <v>30</v>
      </c>
      <c r="C8" s="72" t="s">
        <v>38</v>
      </c>
      <c r="D8" s="72">
        <v>8.0</v>
      </c>
      <c r="E8" s="72">
        <v>465.6</v>
      </c>
      <c r="F8" s="72">
        <v>0.0</v>
      </c>
      <c r="G8" s="72">
        <v>18.68</v>
      </c>
      <c r="H8" s="72">
        <v>437.92</v>
      </c>
    </row>
    <row r="9" ht="14.25" customHeight="1">
      <c r="A9" s="71">
        <v>46101.0</v>
      </c>
      <c r="B9" s="72" t="s">
        <v>30</v>
      </c>
      <c r="C9" s="72" t="s">
        <v>21</v>
      </c>
      <c r="D9" s="72">
        <v>1.0</v>
      </c>
      <c r="E9" s="72">
        <v>40.51</v>
      </c>
      <c r="F9" s="72">
        <v>0.0</v>
      </c>
      <c r="G9" s="72">
        <v>6.08</v>
      </c>
      <c r="H9" s="72">
        <v>34.43</v>
      </c>
    </row>
    <row r="10" ht="14.25" customHeight="1">
      <c r="A10" s="71">
        <v>46102.0</v>
      </c>
      <c r="B10" s="72" t="s">
        <v>30</v>
      </c>
      <c r="C10" s="72" t="s">
        <v>21</v>
      </c>
      <c r="D10" s="72">
        <v>1.0</v>
      </c>
      <c r="E10" s="72">
        <v>56.57</v>
      </c>
      <c r="F10" s="72">
        <v>0.0</v>
      </c>
      <c r="G10" s="72">
        <v>8.49</v>
      </c>
      <c r="H10" s="72">
        <v>48.08</v>
      </c>
    </row>
    <row r="11" ht="14.25" customHeight="1">
      <c r="A11" s="71">
        <v>46103.0</v>
      </c>
      <c r="B11" s="72" t="s">
        <v>30</v>
      </c>
      <c r="C11" s="72" t="s">
        <v>21</v>
      </c>
      <c r="D11" s="72">
        <v>4.0</v>
      </c>
      <c r="E11" s="72">
        <v>219.6</v>
      </c>
      <c r="F11" s="72">
        <v>0.0</v>
      </c>
      <c r="G11" s="72">
        <v>32.94</v>
      </c>
      <c r="H11" s="72">
        <v>186.66</v>
      </c>
    </row>
    <row r="12" ht="14.25" customHeight="1">
      <c r="A12" s="75">
        <v>46108.0</v>
      </c>
      <c r="B12" s="72" t="s">
        <v>141</v>
      </c>
      <c r="C12" s="72" t="s">
        <v>21</v>
      </c>
      <c r="D12" s="72">
        <v>1.0</v>
      </c>
      <c r="E12" s="72">
        <v>40.06</v>
      </c>
      <c r="F12" s="72">
        <v>0.0</v>
      </c>
      <c r="G12" s="72">
        <v>6.01</v>
      </c>
      <c r="H12" s="76">
        <v>34.05</v>
      </c>
    </row>
    <row r="13" ht="14.25" customHeight="1">
      <c r="A13" s="73">
        <v>46109.0</v>
      </c>
      <c r="B13" s="72" t="s">
        <v>30</v>
      </c>
      <c r="C13" s="72" t="s">
        <v>21</v>
      </c>
      <c r="D13" s="72">
        <v>3.0</v>
      </c>
      <c r="E13" s="77"/>
      <c r="F13" s="72">
        <v>30.0</v>
      </c>
      <c r="G13" s="72">
        <v>26.07</v>
      </c>
      <c r="H13" s="72">
        <v>177.75</v>
      </c>
      <c r="J13" s="74"/>
    </row>
    <row r="14" ht="14.25" customHeight="1">
      <c r="A14" s="78">
        <v>46112.0</v>
      </c>
      <c r="B14" s="79" t="s">
        <v>30</v>
      </c>
      <c r="C14" s="79" t="s">
        <v>21</v>
      </c>
      <c r="D14" s="79">
        <v>4.0</v>
      </c>
      <c r="E14" s="79">
        <v>224.44</v>
      </c>
      <c r="F14" s="79">
        <v>0.0</v>
      </c>
      <c r="G14" s="79">
        <v>33.67</v>
      </c>
      <c r="H14" s="80">
        <v>190.77</v>
      </c>
    </row>
    <row r="15" ht="14.25" customHeight="1">
      <c r="A15" s="78">
        <v>46116.0</v>
      </c>
      <c r="B15" s="79" t="s">
        <v>30</v>
      </c>
      <c r="C15" s="79" t="s">
        <v>21</v>
      </c>
      <c r="D15" s="79">
        <v>2.0</v>
      </c>
      <c r="E15" s="79">
        <v>89.52</v>
      </c>
      <c r="F15" s="79">
        <v>0.0</v>
      </c>
      <c r="G15" s="79">
        <v>13.43</v>
      </c>
      <c r="H15" s="79">
        <v>76.09</v>
      </c>
    </row>
    <row r="16" ht="14.25" customHeight="1">
      <c r="A16" s="78">
        <v>46118.0</v>
      </c>
      <c r="B16" s="79" t="s">
        <v>30</v>
      </c>
      <c r="C16" s="79" t="s">
        <v>21</v>
      </c>
      <c r="D16" s="79">
        <v>3.0</v>
      </c>
      <c r="E16" s="79">
        <v>112.29</v>
      </c>
      <c r="F16" s="79">
        <v>0.0</v>
      </c>
      <c r="G16" s="79">
        <v>16.84</v>
      </c>
      <c r="H16" s="79">
        <v>95.45</v>
      </c>
    </row>
    <row r="17" ht="14.25" customHeight="1">
      <c r="A17" s="78">
        <v>46121.0</v>
      </c>
      <c r="B17" s="79" t="s">
        <v>30</v>
      </c>
      <c r="C17" s="79" t="s">
        <v>21</v>
      </c>
      <c r="D17" s="79">
        <v>3.0</v>
      </c>
      <c r="E17" s="79">
        <v>105.33</v>
      </c>
      <c r="F17" s="79">
        <v>0.0</v>
      </c>
      <c r="G17" s="79">
        <v>15.8</v>
      </c>
      <c r="H17" s="79">
        <v>89.53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E30" s="81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9.71"/>
    <col customWidth="1" min="5" max="26" width="8.71"/>
  </cols>
  <sheetData>
    <row r="1" ht="14.25" customHeight="1"/>
    <row r="2" ht="14.25" customHeight="1">
      <c r="A2" s="74" t="s">
        <v>351</v>
      </c>
      <c r="B2" s="74"/>
      <c r="C2" s="74"/>
    </row>
    <row r="3" ht="14.25" customHeight="1">
      <c r="A3" s="74" t="s">
        <v>352</v>
      </c>
      <c r="B3" s="74"/>
      <c r="C3" s="74"/>
    </row>
    <row r="4" ht="14.25" customHeight="1">
      <c r="A4" s="74" t="s">
        <v>353</v>
      </c>
      <c r="B4" s="74"/>
      <c r="C4" s="74"/>
    </row>
    <row r="5" ht="14.25" customHeight="1">
      <c r="A5" s="84" t="s">
        <v>354</v>
      </c>
    </row>
    <row r="6" ht="14.25" customHeight="1">
      <c r="A6" s="85">
        <v>46104.0</v>
      </c>
      <c r="B6" s="86" t="s">
        <v>355</v>
      </c>
    </row>
    <row r="7" ht="14.25" customHeight="1">
      <c r="A7" s="85">
        <v>46111.0</v>
      </c>
      <c r="B7" s="86" t="s">
        <v>356</v>
      </c>
      <c r="D7" s="87"/>
      <c r="E7" s="87"/>
    </row>
    <row r="8" ht="14.25" customHeight="1">
      <c r="A8" s="85">
        <v>46118.0</v>
      </c>
      <c r="B8" s="86" t="s">
        <v>356</v>
      </c>
      <c r="D8" s="87"/>
      <c r="E8" s="87"/>
    </row>
    <row r="9" ht="14.25" customHeight="1">
      <c r="A9" s="85">
        <v>46120.0</v>
      </c>
      <c r="B9" s="86" t="s">
        <v>357</v>
      </c>
      <c r="D9" s="87"/>
      <c r="E9" s="87"/>
    </row>
    <row r="10" ht="14.25" customHeight="1">
      <c r="A10" s="85">
        <v>46132.0</v>
      </c>
      <c r="B10" s="86" t="s">
        <v>356</v>
      </c>
      <c r="D10" s="87"/>
      <c r="E10" s="87"/>
    </row>
    <row r="11" ht="14.25" customHeight="1">
      <c r="A11" s="85">
        <v>46139.0</v>
      </c>
      <c r="B11" s="86" t="s">
        <v>356</v>
      </c>
      <c r="D11" s="87"/>
      <c r="E11" s="87"/>
    </row>
    <row r="12" ht="14.25" customHeight="1">
      <c r="A12" s="88">
        <v>46146.0</v>
      </c>
      <c r="B12" s="89" t="s">
        <v>358</v>
      </c>
      <c r="D12" s="87"/>
      <c r="E12" s="87"/>
    </row>
    <row r="13" ht="14.25" customHeight="1">
      <c r="D13" s="90" t="s">
        <v>359</v>
      </c>
      <c r="E13" s="91"/>
    </row>
    <row r="14" ht="14.25" customHeight="1"/>
    <row r="15" ht="14.25" customHeight="1">
      <c r="A15" s="92">
        <v>46183.0</v>
      </c>
      <c r="B15" s="79" t="s">
        <v>356</v>
      </c>
    </row>
    <row r="16" ht="14.25" customHeight="1">
      <c r="A16" s="92">
        <v>46184.0</v>
      </c>
      <c r="B16" s="79">
        <v>8000000.0</v>
      </c>
    </row>
    <row r="17" ht="14.25" customHeight="1">
      <c r="A17" s="92">
        <v>46184.0</v>
      </c>
      <c r="B17" s="79">
        <v>5200000.0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2025-12-22T07:10:00Z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07DD56EFFF0B4667BB49F848FDE91572_12</vt:lpwstr>
  </property>
  <property fmtid="{D5CDD505-2E9C-101B-9397-08002B2CF9AE}" pid="3" name="KSOProductBuildVer">
    <vt:lpwstr>1049-12.2.0.23197</vt:lpwstr>
  </property>
</Properties>
</file>
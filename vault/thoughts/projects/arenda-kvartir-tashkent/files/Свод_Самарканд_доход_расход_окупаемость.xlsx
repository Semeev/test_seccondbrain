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хождение версий" sheetId="1" state="visible" r:id="rId1"/>
    <sheet name="Сводка" sheetId="2" state="visible" r:id="rId2"/>
    <sheet name="Чёрная касса" sheetId="3" state="visible" r:id="rId3"/>
    <sheet name="По объектам" sheetId="4" state="visible" r:id="rId4"/>
    <sheet name="Окупаемость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C211F"/>
      <sz val="16"/>
    </font>
    <font>
      <i val="1"/>
      <color rgb="00565F5B"/>
      <sz val="10"/>
    </font>
    <font>
      <b val="1"/>
      <color rgb="00FFFFFF"/>
      <sz val="11"/>
    </font>
    <font>
      <b val="1"/>
      <color rgb="002B4A52"/>
      <sz val="13"/>
    </font>
    <font>
      <b val="1"/>
      <color rgb="00A3402F"/>
    </font>
    <font>
      <b val="1"/>
    </font>
  </fonts>
  <fills count="7">
    <fill>
      <patternFill/>
    </fill>
    <fill>
      <patternFill patternType="gray125"/>
    </fill>
    <fill>
      <patternFill patternType="solid">
        <fgColor rgb="002B4A52"/>
      </patternFill>
    </fill>
    <fill>
      <patternFill patternType="solid">
        <fgColor rgb="00F6ECD9"/>
      </patternFill>
    </fill>
    <fill>
      <patternFill patternType="solid">
        <fgColor rgb="00FFF6D8"/>
      </patternFill>
    </fill>
    <fill>
      <patternFill patternType="solid">
        <fgColor rgb="00DDE6E6"/>
      </patternFill>
    </fill>
    <fill>
      <patternFill patternType="solid">
        <fgColor rgb="00F7E4DE"/>
      </patternFill>
    </fill>
  </fills>
  <borders count="2">
    <border>
      <left/>
      <right/>
      <top/>
      <bottom/>
      <diagonal/>
    </border>
    <border>
      <left style="thin">
        <color rgb="00DCDED9"/>
      </left>
      <right style="thin">
        <color rgb="00DCDED9"/>
      </right>
      <top style="thin">
        <color rgb="00DCDED9"/>
      </top>
      <bottom style="thin">
        <color rgb="00DCDE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0" fillId="3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1" pivotButton="0" quotePrefix="0" xfId="0"/>
    <xf numFmtId="0" fontId="0" fillId="0" borderId="1" pivotButton="0" quotePrefix="0" xfId="0"/>
    <xf numFmtId="0" fontId="6" fillId="5" borderId="1" pivotButton="0" quotePrefix="0" xfId="0"/>
    <xf numFmtId="0" fontId="0" fillId="6" borderId="1" pivotButton="0" quotePrefix="0" xfId="0"/>
    <xf numFmtId="0" fontId="5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22" customWidth="1" min="3" max="3"/>
    <col width="30" customWidth="1" min="4" max="4"/>
    <col width="20" customWidth="1" min="5" max="5"/>
    <col width="20" customWidth="1" min="6" max="6"/>
  </cols>
  <sheetData>
    <row r="1">
      <c r="A1" s="1" t="inlineStr">
        <is>
          <t>22.08.2026 получены ДВЕ версии таблицы партнёра — с разными цифрами по одним и тем же датам</t>
        </is>
      </c>
    </row>
    <row r="2">
      <c r="A2" s="2" t="inlineStr">
        <is>
          <t>Версия 1 (первая, из Downloads) — доход Black Pearl за апрель-май-июнь записан как 0 сум/$0. Версия 2 (эта, со стола/Desktop, прислана позже как 'исправленная') — те же даты, но с реальными суммами.</t>
        </is>
      </c>
    </row>
    <row r="4">
      <c r="A4" s="3" t="inlineStr">
        <is>
          <t>Месяц</t>
        </is>
      </c>
      <c r="B4" s="3" t="inlineStr">
        <is>
          <t>Официально Booking.com, $</t>
        </is>
      </c>
      <c r="C4" s="3" t="inlineStr">
        <is>
          <t>Версия 1: записано партнёром</t>
        </is>
      </c>
      <c r="D4" s="3" t="inlineStr">
        <is>
          <t>Версия 2: записано партнёром</t>
        </is>
      </c>
      <c r="E4" s="3" t="inlineStr">
        <is>
          <t>Версия 2 в $ (курс 12700)</t>
        </is>
      </c>
      <c r="F4" s="3" t="inlineStr">
        <is>
          <t>Разрыв с официальным, $</t>
        </is>
      </c>
    </row>
    <row r="5">
      <c r="A5" s="4" t="inlineStr">
        <is>
          <t>Апрель</t>
        </is>
      </c>
      <c r="B5" s="4" t="n">
        <v>863.01</v>
      </c>
      <c r="C5" s="4" t="n">
        <v>0</v>
      </c>
      <c r="D5" s="4" t="inlineStr">
        <is>
          <t>5,678,000 сум + $245</t>
        </is>
      </c>
      <c r="E5" s="4" t="n">
        <v>692.09</v>
      </c>
      <c r="F5" s="4" t="n">
        <v>170.92</v>
      </c>
    </row>
    <row r="6">
      <c r="A6" s="4" t="inlineStr">
        <is>
          <t>Май (только Booking-даты)</t>
        </is>
      </c>
      <c r="B6" s="4" t="n">
        <v>483.59</v>
      </c>
      <c r="C6" s="4" t="n">
        <v>0</v>
      </c>
      <c r="D6" s="4" t="inlineStr">
        <is>
          <t>2,816,000 сум + $176</t>
        </is>
      </c>
      <c r="E6" s="4" t="n">
        <v>397.73</v>
      </c>
      <c r="F6" s="4" t="n">
        <v>85.86</v>
      </c>
    </row>
    <row r="8">
      <c r="A8" s="5" t="inlineStr">
        <is>
          <t>Дополнительно: 10-18.05 (7 ночей, 'сарафанное радио', вне платформ)</t>
        </is>
      </c>
    </row>
    <row r="9">
      <c r="A9" s="3" t="inlineStr">
        <is>
          <t>В версии 1</t>
        </is>
      </c>
      <c r="B9" s="3" t="inlineStr">
        <is>
          <t>В версии 2</t>
        </is>
      </c>
    </row>
    <row r="10">
      <c r="A10" s="4" t="inlineStr">
        <is>
          <t>сумма не указана вообще</t>
        </is>
      </c>
      <c r="B10" s="4" t="inlineStr">
        <is>
          <t>4,208,000 сум (≈ $331.34)</t>
        </is>
      </c>
    </row>
    <row r="12">
      <c r="A12" s="5" t="inlineStr">
        <is>
          <t>Что это значит</t>
        </is>
      </c>
    </row>
    <row r="13">
      <c r="A13" s="6" t="inlineStr">
        <is>
          <t>Это одни и те же исторические брони (апрель-май 2026, они уже в прошлом) — их суммы не должны меняться между экспортами одной и той же таблицы. То, что в одной версии стоит 0, а в другой — реальные деньги (пусть даже на ~15-20% меньше официального Booking.com), означает: либо кто-то редактировал эти ячейки задним числом уже после того, как брони состоялись, либо версии относятся к разным периодам редактирования таблицы.</t>
        </is>
      </c>
    </row>
    <row r="14">
      <c r="A14" s="2" t="inlineStr">
        <is>
          <t>Даже по 'лучшей' версии (эта, вторая) остаётся разрыв ~15-20% между официальными деньгами Booking.com и тем, что записано партнёром — то есть находка не исчезла, она смягчилась с '100% не записано' до 'около 80% записано, 20% разрыв' — и добавился отдельный вопрос: почему в принципе существуют две версии с разными цифрами.</t>
        </is>
      </c>
    </row>
    <row r="16">
      <c r="A16" s="5" t="inlineStr">
        <is>
          <t>Конкретный вопрос для партнёра</t>
        </is>
      </c>
    </row>
    <row r="17">
      <c r="A17" s="2" t="inlineStr">
        <is>
          <t>Уточни, когда именно была сделана каждая выгрузка (дата/время скачивания) и почему цифры по уже прошедшим апрелю-маю отличаются между ними. Это можно проверить объективно — в Google Таблицах есть история версий (Файл → История версий), которая показывает, кто и когда менял конкретные ячейки.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55" customWidth="1" min="1" max="1"/>
    <col width="22" customWidth="1" min="2" max="2"/>
    <col width="22" customWidth="1" min="3" max="3"/>
    <col width="30" customWidth="1" min="4" max="4"/>
  </cols>
  <sheetData>
    <row r="1">
      <c r="A1" s="1" t="inlineStr">
        <is>
          <t>Аренда квартир Самарканд — сводный финансовый отчёт (версия 2, по данным от 22.08.2026)</t>
        </is>
      </c>
    </row>
    <row r="2">
      <c r="A2" s="2" t="inlineStr">
        <is>
          <t>Период дохода: 01.01–22.08.2026. Расходы по этой версии таблицы партнёра — только январь–май (июнь в этом файле отсутствует).</t>
        </is>
      </c>
    </row>
    <row r="3">
      <c r="A3" s="6" t="inlineStr">
        <is>
          <t>См. лист 'Расхождение версий' — важно прочитать первым.</t>
        </is>
      </c>
    </row>
    <row r="5">
      <c r="A5" s="5" t="inlineStr">
        <is>
          <t>КУРС ПЕРЕСЧЁТА</t>
        </is>
      </c>
    </row>
    <row r="6">
      <c r="A6" t="inlineStr">
        <is>
          <t>UZS за 1 USD</t>
        </is>
      </c>
      <c r="B6" s="7" t="n">
        <v>12700</v>
      </c>
    </row>
    <row r="8">
      <c r="A8" s="5" t="inlineStr">
        <is>
          <t>1. ОФИЦИАЛЬНЫЙ ПРОВЕРЯЕМЫЙ ДОХОД (Booking + Airbnb, обе квартиры, весь период)</t>
        </is>
      </c>
    </row>
    <row r="9">
      <c r="A9" s="3" t="inlineStr">
        <is>
          <t>Источник</t>
        </is>
      </c>
      <c r="B9" s="3" t="inlineStr">
        <is>
          <t>Броней</t>
        </is>
      </c>
      <c r="C9" s="3" t="inlineStr">
        <is>
          <t>Ночей</t>
        </is>
      </c>
      <c r="D9" s="3" t="inlineStr">
        <is>
          <t>Доход $ (netto)</t>
        </is>
      </c>
    </row>
    <row r="10">
      <c r="A10" s="8" t="inlineStr">
        <is>
          <t>Booking.com (статус OK)</t>
        </is>
      </c>
      <c r="B10" s="8" t="n">
        <v>67</v>
      </c>
      <c r="C10" s="8" t="n">
        <v>114</v>
      </c>
      <c r="D10" s="8" t="n">
        <v>3906.96</v>
      </c>
    </row>
    <row r="11">
      <c r="A11" s="8" t="inlineStr">
        <is>
          <t>Airbnb (оплаченные брони)</t>
        </is>
      </c>
      <c r="B11" s="8" t="n">
        <v>20</v>
      </c>
      <c r="C11" s="8" t="n">
        <v>47</v>
      </c>
      <c r="D11" s="8" t="n">
        <v>2092.65</v>
      </c>
    </row>
    <row r="12">
      <c r="A12" s="8" t="inlineStr">
        <is>
          <t xml:space="preserve">  доп.: выплата по диспуту Airbnb</t>
        </is>
      </c>
      <c r="B12" s="8" t="inlineStr"/>
      <c r="C12" s="8" t="inlineStr"/>
      <c r="D12" s="8" t="n">
        <v>102</v>
      </c>
    </row>
    <row r="13">
      <c r="A13" s="9" t="inlineStr">
        <is>
          <t>ИТОГО официальный доход (без диспута)</t>
        </is>
      </c>
      <c r="B13" s="9">
        <f>B10+B11</f>
        <v/>
      </c>
      <c r="C13" s="9">
        <f>C10+C11</f>
        <v/>
      </c>
      <c r="D13" s="9">
        <f>D10+D11</f>
        <v/>
      </c>
    </row>
    <row r="15">
      <c r="A15" s="5" t="inlineStr">
        <is>
          <t>2. РАСХОДЫ ПО ВЕРСИИ 2 ТАБЛИЦЫ ПАРТНЁРА (январь–май 2026)</t>
        </is>
      </c>
    </row>
    <row r="16">
      <c r="A16" s="3" t="inlineStr">
        <is>
          <t>Категория</t>
        </is>
      </c>
      <c r="B16" s="3" t="inlineStr">
        <is>
          <t>Сумма, сум</t>
        </is>
      </c>
      <c r="C16" s="3" t="inlineStr">
        <is>
          <t>≈ $, по курсу выше</t>
        </is>
      </c>
    </row>
    <row r="17">
      <c r="A17" s="8" t="inlineStr">
        <is>
          <t>Все расходы янв-май</t>
        </is>
      </c>
      <c r="B17" s="8" t="n">
        <v>120492780</v>
      </c>
      <c r="C17" s="8">
        <f>B17/$B$6</f>
        <v/>
      </c>
    </row>
    <row r="18">
      <c r="A18" s="8" t="inlineStr">
        <is>
          <t xml:space="preserve">  из них разовые ('вложения')</t>
        </is>
      </c>
      <c r="B18" s="8" t="n">
        <v>34540800</v>
      </c>
      <c r="C18" s="8">
        <f>B18/$B$6</f>
        <v/>
      </c>
    </row>
    <row r="19">
      <c r="A19" s="8" t="inlineStr">
        <is>
          <t xml:space="preserve">  из них периодические</t>
        </is>
      </c>
      <c r="B19" s="8">
        <f>B17-B18</f>
        <v/>
      </c>
      <c r="C19" s="8">
        <f>B19/$B$6</f>
        <v/>
      </c>
    </row>
    <row r="21">
      <c r="A21" s="2" t="inlineStr">
        <is>
          <t>В версии 1 были ещё и июньские расходы (+23 353 000 сум) — в этой версии их нет физически, файл обрывается на мае.</t>
        </is>
      </c>
    </row>
    <row r="23">
      <c r="A23" s="5" t="inlineStr">
        <is>
          <t>3. НАЛ ВНЕ ПЛАТФОРМ ('сарафанное радио')</t>
        </is>
      </c>
    </row>
    <row r="24">
      <c r="A24" s="3" t="inlineStr">
        <is>
          <t>Источник</t>
        </is>
      </c>
      <c r="B24" s="3" t="inlineStr">
        <is>
          <t>Ночей</t>
        </is>
      </c>
      <c r="C24" s="3" t="inlineStr">
        <is>
          <t>Доход $</t>
        </is>
      </c>
    </row>
    <row r="25">
      <c r="A25" s="4" t="inlineStr">
        <is>
          <t>'Сарафанное радио', White Pearl (3 записи)</t>
        </is>
      </c>
      <c r="B25" s="4" t="n">
        <v>7</v>
      </c>
      <c r="C25" s="4" t="n">
        <v>260</v>
      </c>
    </row>
    <row r="26">
      <c r="A26" s="4" t="inlineStr">
        <is>
          <t>'Сарафанное радио', Black Pearl, 10-18.05 (в версии 2 впервые с суммой)</t>
        </is>
      </c>
      <c r="B26" s="4" t="n">
        <v>7</v>
      </c>
      <c r="C26" s="4" t="n">
        <v>331.34</v>
      </c>
    </row>
    <row r="28">
      <c r="A28" s="5" t="inlineStr">
        <is>
          <t>4. ИТОГ: ПРИБЫЛЬ / УБЫТОК (янв-май, сопоставимый период)</t>
        </is>
      </c>
    </row>
    <row r="29">
      <c r="A29" s="3" t="inlineStr">
        <is>
          <t>Сценарий</t>
        </is>
      </c>
      <c r="B29" s="3" t="inlineStr">
        <is>
          <t>Доход $</t>
        </is>
      </c>
      <c r="C29" s="3" t="inlineStr">
        <is>
          <t>Расходы $</t>
        </is>
      </c>
      <c r="D29" s="3" t="inlineStr">
        <is>
          <t>Прибыль(+)/Убыток(-) $</t>
        </is>
      </c>
    </row>
    <row r="30">
      <c r="A30" s="10" t="inlineStr">
        <is>
          <t>Только официально (Booking+Airbnb)</t>
        </is>
      </c>
      <c r="B30" s="10">
        <f>D13</f>
        <v/>
      </c>
      <c r="C30" s="10">
        <f>C17</f>
        <v/>
      </c>
      <c r="D30" s="11">
        <f>B30-C30</f>
        <v/>
      </c>
    </row>
    <row r="31">
      <c r="A31" s="10" t="inlineStr">
        <is>
          <t>+ весь нал по версии 2 (сарафанное радио)</t>
        </is>
      </c>
      <c r="B31" s="10">
        <f>D13+C25+C26</f>
        <v/>
      </c>
      <c r="C31" s="10">
        <f>C17</f>
        <v/>
      </c>
      <c r="D31" s="11">
        <f>B31-C31</f>
        <v/>
      </c>
    </row>
    <row r="32">
      <c r="A32" s="2" t="inlineStr">
        <is>
          <t>Даже с учётом всего нала из версии 2 — доход не покрывает расходы за этот период.</t>
        </is>
      </c>
    </row>
    <row r="34">
      <c r="A34" s="5" t="inlineStr">
        <is>
          <t>5. ГЛАВНАЯ НАХОДКА (обновлено)</t>
        </is>
      </c>
    </row>
    <row r="35">
      <c r="A35" s="6" t="inlineStr">
        <is>
          <t>Между двумя версиями таблицы партнёра суммы по одним и тем же прошедшим бронированиям Black Pearl различаются: в одной — 0, в другой — реальные деньги, но на 15-20% меньше официального Booking.com. Подробности и точные цифры — лист 'Расхождение версий'.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8" customWidth="1" min="3" max="3"/>
    <col width="16" customWidth="1" min="4" max="4"/>
    <col width="14" customWidth="1" min="5" max="5"/>
  </cols>
  <sheetData>
    <row r="1">
      <c r="A1" s="1" t="inlineStr">
        <is>
          <t>Black Pearl — сверка версии 2 таблицы партнёра с официальным Booking.com</t>
        </is>
      </c>
    </row>
    <row r="2">
      <c r="A2" s="2" t="inlineStr">
        <is>
          <t>В версии 1 по этим же датам стояло 0. В версии 2 — суммы ниже. Курс для пересчёта в $ — 12700 (условно).</t>
        </is>
      </c>
    </row>
    <row r="4">
      <c r="A4" s="3" t="inlineStr">
        <is>
          <t>Месяц</t>
        </is>
      </c>
      <c r="B4" s="3" t="inlineStr">
        <is>
          <t>Официально Booking.com, $</t>
        </is>
      </c>
      <c r="C4" s="3" t="inlineStr">
        <is>
          <t>Записано в версии 2, $ (по курсу)</t>
        </is>
      </c>
      <c r="D4" s="3" t="inlineStr">
        <is>
          <t>Разрыв, $</t>
        </is>
      </c>
      <c r="E4" s="3" t="inlineStr">
        <is>
          <t>Разрыв, %</t>
        </is>
      </c>
    </row>
    <row r="5">
      <c r="A5" s="4" t="inlineStr">
        <is>
          <t>Апрель</t>
        </is>
      </c>
      <c r="B5" s="4" t="n">
        <v>863.01</v>
      </c>
      <c r="C5" s="4" t="n">
        <v>692.09</v>
      </c>
      <c r="D5" s="4" t="n">
        <v>170.92</v>
      </c>
      <c r="E5" s="4" t="inlineStr">
        <is>
          <t>19.8%</t>
        </is>
      </c>
    </row>
    <row r="6">
      <c r="A6" s="4" t="inlineStr">
        <is>
          <t>Май (только Booking-даты)</t>
        </is>
      </c>
      <c r="B6" s="4" t="n">
        <v>483.59</v>
      </c>
      <c r="C6" s="4" t="n">
        <v>397.73</v>
      </c>
      <c r="D6" s="4" t="n">
        <v>85.86</v>
      </c>
      <c r="E6" s="4" t="inlineStr">
        <is>
          <t>17.8%</t>
        </is>
      </c>
    </row>
    <row r="7">
      <c r="A7" s="9" t="inlineStr">
        <is>
          <t>ИТОГО (апр-май)</t>
        </is>
      </c>
      <c r="B7" s="9">
        <f>SUM(B5:B6)</f>
        <v/>
      </c>
      <c r="C7" s="9">
        <f>SUM(C5:C6)</f>
        <v/>
      </c>
      <c r="D7" s="9">
        <f>SUM(D5:D6)</f>
        <v/>
      </c>
      <c r="E7" s="9" t="inlineStr"/>
    </row>
    <row r="9">
      <c r="A9" s="2" t="inlineStr">
        <is>
          <t>Июнь в версию 2 попал не полностью (только 3 из ~8 реальных июньских Black Pearl-броней Booking.com) — сравнивать некорректно, пропущен в этой таблице.</t>
        </is>
      </c>
    </row>
    <row r="11">
      <c r="A11" s="5" t="inlineStr">
        <is>
          <t>Как проверить самому</t>
        </is>
      </c>
    </row>
    <row r="12">
      <c r="A12" s="2" t="inlineStr">
        <is>
          <t>1. В Google Таблицах у партнёра: Файл → История версий (или 'See version history') — там видно, кто и когда редактировал ячейки с суммами апреля-мая по Black Pearl.</t>
        </is>
      </c>
    </row>
    <row r="13">
      <c r="A13" s="2" t="inlineStr">
        <is>
          <t>2. Сравни это с датой, когда тебе прислали версию с нулями — если правки внесены ПОСЛЕ этой даты, это уже прямой факт, а не подозрение.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2" max="2"/>
    <col width="22" customWidth="1" min="3" max="3"/>
    <col width="22" customWidth="1" min="4" max="4"/>
    <col width="26" customWidth="1" min="5" max="5"/>
  </cols>
  <sheetData>
    <row r="1">
      <c r="A1" s="1" t="inlineStr">
        <is>
          <t>Доход и расход по каждой квартире (расходы — версия 2, янв-май)</t>
        </is>
      </c>
    </row>
    <row r="2">
      <c r="A2" s="2" t="inlineStr">
        <is>
          <t>Курс берётся с листа 'Сводка'.</t>
        </is>
      </c>
    </row>
    <row r="4">
      <c r="A4" s="3" t="inlineStr">
        <is>
          <t>Квартира</t>
        </is>
      </c>
      <c r="B4" s="3" t="inlineStr">
        <is>
          <t>Доход Booking+Airbnb, $ (весь период)</t>
        </is>
      </c>
      <c r="C4" s="3" t="inlineStr">
        <is>
          <t>Расходы, сум (янв-май)</t>
        </is>
      </c>
      <c r="D4" s="3" t="inlineStr">
        <is>
          <t>Расходы, $ (по курсу)</t>
        </is>
      </c>
      <c r="E4" s="3" t="inlineStr">
        <is>
          <t>Прибыль(+)/Убыток(-), $</t>
        </is>
      </c>
    </row>
    <row r="5">
      <c r="A5" s="8" t="inlineStr">
        <is>
          <t>Black Pearl (Spacious/Registan)</t>
        </is>
      </c>
      <c r="B5" s="10" t="n">
        <v>3534.24</v>
      </c>
      <c r="C5" s="10" t="n">
        <v>78684130</v>
      </c>
      <c r="D5" s="10">
        <f>C5/Сводка!$B$6</f>
        <v/>
      </c>
      <c r="E5" s="10">
        <f>B5-D5</f>
        <v/>
      </c>
    </row>
    <row r="6">
      <c r="A6" s="8" t="inlineStr">
        <is>
          <t>White Pearl (у аэропорта)</t>
        </is>
      </c>
      <c r="B6" s="10" t="n">
        <v>2465.37</v>
      </c>
      <c r="C6" s="10" t="n">
        <v>38648650</v>
      </c>
      <c r="D6" s="10">
        <f>C6/Сводка!$B$6</f>
        <v/>
      </c>
      <c r="E6" s="10">
        <f>B6-D6</f>
        <v/>
      </c>
    </row>
    <row r="7">
      <c r="A7" s="8" t="inlineStr">
        <is>
          <t>Общие расходы</t>
        </is>
      </c>
      <c r="B7" s="8" t="n">
        <v>0</v>
      </c>
      <c r="C7" s="8" t="n">
        <v>3160000</v>
      </c>
      <c r="D7" s="8">
        <f>C7/Сводка!$B$6</f>
        <v/>
      </c>
      <c r="E7" s="8">
        <f>B7-D7</f>
        <v/>
      </c>
    </row>
    <row r="8">
      <c r="A8" s="9" t="inlineStr">
        <is>
          <t>ИТОГО</t>
        </is>
      </c>
      <c r="B8" s="9">
        <f>B5+B6+B7</f>
        <v/>
      </c>
      <c r="C8" s="9">
        <f>C5+C6+C7</f>
        <v/>
      </c>
      <c r="D8" s="9">
        <f>D5+D6+D7</f>
        <v/>
      </c>
      <c r="E8" s="9">
        <f>E5+E6+E7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22" customWidth="1" min="4" max="4"/>
    <col width="20" customWidth="1" min="5" max="5"/>
    <col width="20" customWidth="1" min="6" max="6"/>
  </cols>
  <sheetData>
    <row r="1">
      <c r="A1" s="1" t="inlineStr">
        <is>
          <t>Помесячная динамика: расходы vs официальный доход (январь-май)</t>
        </is>
      </c>
    </row>
    <row r="2">
      <c r="A2" s="2" t="inlineStr">
        <is>
          <t>Официальный доход — по дате заезда/брони, обе квартиры вместе. Расходы этой версии таблицы обрываются на мае.</t>
        </is>
      </c>
    </row>
    <row r="4">
      <c r="A4" s="3" t="inlineStr">
        <is>
          <t>Месяц</t>
        </is>
      </c>
      <c r="B4" s="3" t="inlineStr">
        <is>
          <t>Расходы, сум</t>
        </is>
      </c>
      <c r="C4" s="3" t="inlineStr">
        <is>
          <t>Расходы, $</t>
        </is>
      </c>
      <c r="D4" s="3" t="inlineStr">
        <is>
          <t>Официальный доход, $</t>
        </is>
      </c>
      <c r="E4" s="3" t="inlineStr">
        <is>
          <t>Разница за месяц, $</t>
        </is>
      </c>
      <c r="F4" s="3" t="inlineStr">
        <is>
          <t>Накопительно, $</t>
        </is>
      </c>
    </row>
    <row r="5">
      <c r="A5" s="8" t="inlineStr">
        <is>
          <t>Январь</t>
        </is>
      </c>
      <c r="B5" s="8" t="n">
        <v>39985000</v>
      </c>
      <c r="C5" s="8">
        <f>B5/Сводка!$B$6</f>
        <v/>
      </c>
      <c r="D5" s="8" t="n">
        <v>230.12</v>
      </c>
      <c r="E5" s="8">
        <f>D5-C5</f>
        <v/>
      </c>
      <c r="F5" s="8">
        <f>E5</f>
        <v/>
      </c>
    </row>
    <row r="6">
      <c r="A6" s="8" t="inlineStr">
        <is>
          <t>Февраль</t>
        </is>
      </c>
      <c r="B6" s="8" t="n">
        <v>5931250</v>
      </c>
      <c r="C6" s="8">
        <f>B6/Сводка!$B$6</f>
        <v/>
      </c>
      <c r="D6" s="8" t="n">
        <v>400.51</v>
      </c>
      <c r="E6" s="8">
        <f>D6-C6</f>
        <v/>
      </c>
      <c r="F6" s="8">
        <f>F5+E6</f>
        <v/>
      </c>
    </row>
    <row r="7">
      <c r="A7" s="8" t="inlineStr">
        <is>
          <t>Март</t>
        </is>
      </c>
      <c r="B7" s="8" t="n">
        <v>38951780</v>
      </c>
      <c r="C7" s="8">
        <f>B7/Сводка!$B$6</f>
        <v/>
      </c>
      <c r="D7" s="8" t="n">
        <v>1107.34</v>
      </c>
      <c r="E7" s="8">
        <f>D7-C7</f>
        <v/>
      </c>
      <c r="F7" s="8">
        <f>F6+E7</f>
        <v/>
      </c>
    </row>
    <row r="8">
      <c r="A8" s="8" t="inlineStr">
        <is>
          <t>Апрель</t>
        </is>
      </c>
      <c r="B8" s="8" t="n">
        <v>19213750</v>
      </c>
      <c r="C8" s="8">
        <f>B8/Сводка!$B$6</f>
        <v/>
      </c>
      <c r="D8" s="8" t="n">
        <v>1070.78</v>
      </c>
      <c r="E8" s="8">
        <f>D8-C8</f>
        <v/>
      </c>
      <c r="F8" s="8">
        <f>F7+E8</f>
        <v/>
      </c>
    </row>
    <row r="9">
      <c r="A9" s="8" t="inlineStr">
        <is>
          <t>Май</t>
        </is>
      </c>
      <c r="B9" s="8" t="n">
        <v>16411000</v>
      </c>
      <c r="C9" s="8">
        <f>B9/Сводка!$B$6</f>
        <v/>
      </c>
      <c r="D9" s="8" t="n">
        <v>1468.31</v>
      </c>
      <c r="E9" s="8">
        <f>D9-C9</f>
        <v/>
      </c>
      <c r="F9" s="8">
        <f>F8+E9</f>
        <v/>
      </c>
    </row>
    <row r="10">
      <c r="A10" s="9" t="inlineStr">
        <is>
          <t>ИТОГО</t>
        </is>
      </c>
      <c r="B10" s="9">
        <f>SUM(B5:B9)</f>
        <v/>
      </c>
      <c r="C10" s="9">
        <f>SUM(C5:C9)</f>
        <v/>
      </c>
      <c r="D10" s="9">
        <f>SUM(D5:D9)</f>
        <v/>
      </c>
      <c r="E10" s="9">
        <f>SUM(E5:E9)</f>
        <v/>
      </c>
      <c r="F10" s="9">
        <f>F9</f>
        <v/>
      </c>
    </row>
    <row r="12">
      <c r="A12" s="2" t="inlineStr">
        <is>
          <t>Июнь-август — расходов в версии 2 таблицы партнёра нет вообще (файл обрывается на мае), поэтому дальше кривую строить не из чего.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2026-08-22T16:11:36Z</dcterms:created>
  <dcterms:modified xsi:type="dcterms:W3CDTF">2026-08-22T16:11:36Z</dcterms:modified>
</cp:coreProperties>
</file>